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\Documents\Semestre 9\Software 4\Trabajo\BITACORAS DE CLASE\Clase#1\Tarea1\"/>
    </mc:Choice>
  </mc:AlternateContent>
  <xr:revisionPtr revIDLastSave="0" documentId="13_ncr:1_{0B4CA02A-3237-4BAB-8191-B6ECA57F5E4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shboard y Resumen" sheetId="1" r:id="rId1"/>
    <sheet name="Requisitos Funcionales" sheetId="2" r:id="rId2"/>
    <sheet name="Requisitos No Funcionales" sheetId="3" r:id="rId3"/>
    <sheet name="Ejemplos Práctic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O7" i="1" s="1"/>
  <c r="D21" i="3"/>
  <c r="N7" i="1" s="1"/>
  <c r="D20" i="3"/>
  <c r="M7" i="1" s="1"/>
  <c r="D19" i="3"/>
  <c r="L7" i="1" s="1"/>
  <c r="D18" i="3"/>
  <c r="K7" i="1" s="1"/>
  <c r="P7" i="1" s="1"/>
  <c r="E12" i="1"/>
  <c r="C12" i="1"/>
  <c r="H12" i="1" s="1"/>
  <c r="G33" i="2"/>
  <c r="G13" i="1" s="1"/>
  <c r="G32" i="2"/>
  <c r="F13" i="1" s="1"/>
  <c r="G31" i="2"/>
  <c r="E13" i="1" s="1"/>
  <c r="G30" i="2"/>
  <c r="D13" i="1" s="1"/>
  <c r="G29" i="2"/>
  <c r="H29" i="2" s="1"/>
  <c r="G22" i="2"/>
  <c r="G12" i="1" s="1"/>
  <c r="G21" i="2"/>
  <c r="F12" i="1" s="1"/>
  <c r="G20" i="2"/>
  <c r="G19" i="2"/>
  <c r="D12" i="1" s="1"/>
  <c r="G18" i="2"/>
  <c r="H18" i="2" s="1"/>
  <c r="G11" i="2"/>
  <c r="G11" i="1" s="1"/>
  <c r="G10" i="2"/>
  <c r="F11" i="1" s="1"/>
  <c r="G9" i="2"/>
  <c r="E11" i="1" s="1"/>
  <c r="G8" i="2"/>
  <c r="D11" i="1" s="1"/>
  <c r="G7" i="2"/>
  <c r="H7" i="2" s="1"/>
  <c r="O6" i="1" l="1"/>
  <c r="O8" i="1" s="1"/>
  <c r="M6" i="1"/>
  <c r="M8" i="1" s="1"/>
  <c r="L6" i="1"/>
  <c r="L8" i="1" s="1"/>
  <c r="N6" i="1"/>
  <c r="N8" i="1" s="1"/>
  <c r="C11" i="1"/>
  <c r="C13" i="1"/>
  <c r="H13" i="1" s="1"/>
  <c r="H11" i="1" l="1"/>
  <c r="K6" i="1"/>
  <c r="K8" i="1" l="1"/>
  <c r="P8" i="1" s="1"/>
  <c r="P6" i="1"/>
</calcChain>
</file>

<file path=xl/sharedStrings.xml><?xml version="1.0" encoding="utf-8"?>
<sst xmlns="http://schemas.openxmlformats.org/spreadsheetml/2006/main" count="297" uniqueCount="165">
  <si>
    <t>LISTA DE CHEQUEO: REQUISITOS FUNCIONALES (RF)</t>
  </si>
  <si>
    <t>Evalúa si el requisito define adecuadamente QUÉ debe hacer el sistema (entradas, salidas, actores y reglas).</t>
  </si>
  <si>
    <t>REQUISITO - CODIGO</t>
  </si>
  <si>
    <t>Módulo de Autenticación, Seguridad y Usuarios</t>
  </si>
  <si>
    <t>ID</t>
  </si>
  <si>
    <t>Criterio de Calidad</t>
  </si>
  <si>
    <t>Pregunta de Verificación / Control</t>
  </si>
  <si>
    <t>Estado</t>
  </si>
  <si>
    <t>Observaciones / Plan de Acción</t>
  </si>
  <si>
    <t>Total</t>
  </si>
  <si>
    <t>Cumplimiento</t>
  </si>
  <si>
    <t>RF-CHK-01</t>
  </si>
  <si>
    <t>Claridad y Unicidad</t>
  </si>
  <si>
    <t>¿El requisito está escrito en un lenguaje claro, conciso y sin ambigüedades?</t>
  </si>
  <si>
    <t>Cumple</t>
  </si>
  <si>
    <t>Está redactado súper claro; no hay confusiones sobre cómo se inicia sesión ni sobre las responsabilidades de los 3 roles del sistema.</t>
  </si>
  <si>
    <t>Total Ítems Evaluados</t>
  </si>
  <si>
    <t>RF-CHK-02</t>
  </si>
  <si>
    <t>Rol / Actor Definido</t>
  </si>
  <si>
    <t>¿Se especifica claramente quién o qué sistema ejecuta la acción (ej. Administrador, Cliente, API)?</t>
  </si>
  <si>
    <t>Especifican perfectamente que el Administrador gestiona usuarios y que cada rol (Docente/Estudiante) tiene sus vistas limitadas.</t>
  </si>
  <si>
    <t>Total Cumple</t>
  </si>
  <si>
    <t>RF-CHK-03</t>
  </si>
  <si>
    <t>Comportamiento / Entradas y Salidas</t>
  </si>
  <si>
    <t>¿Quedan claras las entradas requeridas (datos de origen) y las salidas/resultados esperados?</t>
  </si>
  <si>
    <t>Queda clarísimo que entran correo y contraseña, y la salida es la sesión activa o la alerta de credenciales inválidas.</t>
  </si>
  <si>
    <t>Total No Cumple</t>
  </si>
  <si>
    <t>RF-CHK-04</t>
  </si>
  <si>
    <t>Reglas de Negocio</t>
  </si>
  <si>
    <t>¿Incluye o hace referencia explícita a las validaciones y restricciones de negocio aplicables?</t>
  </si>
  <si>
    <t>Contempla las reglas clave, como que los usuarios no se eliminan físicamente sino que se inactivan para no perder el historial.</t>
  </si>
  <si>
    <t>Total N/A</t>
  </si>
  <si>
    <t>RF-CHK-05</t>
  </si>
  <si>
    <t>Manejo de Excepciones</t>
  </si>
  <si>
    <t>¿Define el comportamiento del sistema ante fallas, errores de usuario o datos inválidos?</t>
  </si>
  <si>
    <t>Maneja bien las excepciones; ante fallos de inicio de sesión muestra mensaje genérico y si se vence el enlace de recuperación pide generar otro.</t>
  </si>
  <si>
    <t>Total Pendiente</t>
  </si>
  <si>
    <t>RF-CHK-06</t>
  </si>
  <si>
    <t>Verificabilidad / Testabilidad</t>
  </si>
  <si>
    <t>¿Es posible redactar un caso de prueba cuantitativo o un criterio de aceptación claro?</t>
  </si>
  <si>
    <t>Es facilísimo de probar; se pueden armar casos de prueba para cada rol y verificar la expiración a los 15 minutos del enlace.</t>
  </si>
  <si>
    <t>RF-CHK-07</t>
  </si>
  <si>
    <t>Consistencia y Trazabilidad</t>
  </si>
  <si>
    <t>¿El requisito es coherente con el resto del sistema y permite rastrear su origen y estado?</t>
  </si>
  <si>
    <t>Mantiene coherencia con el requisito de seguridad (RF-23), exigiendo registro de logs de auditoría para la creación y cambio de usuarios.</t>
  </si>
  <si>
    <t>RF-CHK-08</t>
  </si>
  <si>
    <t>Atomicidad</t>
  </si>
  <si>
    <t>¿Describe una sola funcionalidad y no una combinación compleja que deba separarse?</t>
  </si>
  <si>
    <t>Cada requisito aborda una sola función específica (autenticar, autorizar, crear usuario, recuperar clave) sin mezclar procesos.</t>
  </si>
  <si>
    <t>Módulo de Gestión Académica y Calificación por Ras</t>
  </si>
  <si>
    <t>La lógica de evaluación por RAs está explicada detalladamente, sin dejar dudas de cómo se calcula la nota de cada asignatura.</t>
  </si>
  <si>
    <t>Define claramente que el docente planifica y registra notas, el Administrador crea las asignaturas y el estudiante consulta notas.</t>
  </si>
  <si>
    <t>Súper claro: entran las notas por actividad (0.0 a 5.0) y salen el promedio del RA y la clasificación de desempeño (Bajo a Superior).</t>
  </si>
  <si>
    <t>Incluye validaciones estrictas, como que los porcentajes de las actividades de un RA sumen exactamente el 100% y la escala de 0.0 a 5.0.</t>
  </si>
  <si>
    <t>Bloquea el guardado si la suma no da el 100% o si se intenta ingresar una nota fuera de rango (ej. 6.0), mostrando la alerta requerida.</t>
  </si>
  <si>
    <t>Muy verificable; se pueden hacer pruebas cuantitativas con valores borde y comprobar los cálculos ponderados automáticamente.</t>
  </si>
  <si>
    <t>Excelente trazabilidad; se vincula directo con el módulo de observaciones por nota del docente y los contra-comentarios del estudiante.</t>
  </si>
  <si>
    <t>Separa de manera independiente la planeación de actividades, el registro de notas y el cálculo automático por RA.</t>
  </si>
  <si>
    <t>Módulo de Planes de Mejora, Estadísticas y Reportes</t>
  </si>
  <si>
    <t>La especificación de los reportes y planes de mejora es transparente y deja claro qué datos se deben visualizar por grupo.</t>
  </si>
  <si>
    <t>Se indica bien el alcance por rol: docente ve sus asignaturas, estudiante ve sus resultados individuales y admin consulta consolidados.</t>
  </si>
  <si>
    <t>Define claramente las entradas (filtros por periodo/asignatura) y la salida esperada en gráficas estadísticas o reportes en PDF.</t>
  </si>
  <si>
    <t>Establece las condiciones para habilitar los planes de mejora a estudiantes que obtengan niveles de desempeño Bajo o Básico.</t>
  </si>
  <si>
    <t>Si una búsqueda de estudiantes no arroja resultados o la exportación a PDF se interrumpe, el sistema notifica al usuario adecuadamente.</t>
  </si>
  <si>
    <t>Muy fácil de validar comparando los gráficos y el archivo PDF generado contra la información de notas guardada en la BD.</t>
  </si>
  <si>
    <t>Se conecta perfectamente con el historial de cambios (RF-22) y el análisis de observaciones de periodos anteriores.</t>
  </si>
  <si>
    <t>Diferencia de forma limpia la función de búsqueda, el módulo de gráficos estadísticos y la descarga de reportes en PDF.</t>
  </si>
  <si>
    <t>AUDITORÍA DE REQUISITOS DE SOFTWARE</t>
  </si>
  <si>
    <t>Dashboard de Control de Calidad e Indicadores de Cumplimiento</t>
  </si>
  <si>
    <t>Nombre del Proyecto:</t>
  </si>
  <si>
    <t>Sistema de Gestión de Resultados de Aprendizaje (RA)</t>
  </si>
  <si>
    <t>Categoría de Evaluación</t>
  </si>
  <si>
    <t>Total Ítems</t>
  </si>
  <si>
    <t>No Cumple</t>
  </si>
  <si>
    <t>N/A</t>
  </si>
  <si>
    <t>Pendiente</t>
  </si>
  <si>
    <t>% Cumplimiento</t>
  </si>
  <si>
    <t>Evaluador / Auditor:</t>
  </si>
  <si>
    <t>Requisitos Funcionales (RF)</t>
  </si>
  <si>
    <t>Fecha de Evaluación:</t>
  </si>
  <si>
    <t>11/08/2026</t>
  </si>
  <si>
    <t>Requisitos No Funcionales (RNF)</t>
  </si>
  <si>
    <t>Versión del Sistema:</t>
  </si>
  <si>
    <t>TOTAL GLOBAL</t>
  </si>
  <si>
    <t>Requisitos Funcionales (RF1)</t>
  </si>
  <si>
    <t>Requisitos Funcionales (RF2)</t>
  </si>
  <si>
    <t>Requisitos Funcionales (RF3)</t>
  </si>
  <si>
    <t>LISTA DE CHEQUEO: REQUISITOS NO FUNCIONALES (RNF)</t>
  </si>
  <si>
    <t>Evalúa la calidad del atributo CÓMO debe comportarse el sistema (rendimiento, seguridad, escalabilidad, etc.).</t>
  </si>
  <si>
    <t>Atributo de Calidad / Criterio</t>
  </si>
  <si>
    <t>RNF-CHK-01</t>
  </si>
  <si>
    <t>Cuantificabilidad (Medible)</t>
  </si>
  <si>
    <t>¿Usa métricas objetivas numéricas en lugar de adjetivos vagos (ej. '&lt; 2s' vs 'rápido')?</t>
  </si>
  <si>
    <t>El documento está súper completo en esto; no pusieron cosas vagas como 'que cargue rápido', sino que fijaron tiempos exactos en segundos (4s carga, 3s cálculo, 9s PDF) y porcentajes concretos.</t>
  </si>
  <si>
    <t>RNF-CHK-02</t>
  </si>
  <si>
    <t>Rendimiento y Eficiencia</t>
  </si>
  <si>
    <t>¿Define tiempos máximos de respuesta, latencia o rendimiento de procesamiento (TPS)?</t>
  </si>
  <si>
    <t>Se nota que se tomaron el trabajo de medir cada acción principal del sistema, especificando cuántos segundos debe tardar la interfaz al calcular notas, hacer búsquedas y generar reportes.</t>
  </si>
  <si>
    <t>RNF-CHK-03</t>
  </si>
  <si>
    <t>Escalabilidad y Carga</t>
  </si>
  <si>
    <t>¿Especifica cantidad de usuarios concurrentes, volumen de datos o peticiones por segundo?</t>
  </si>
  <si>
    <t>Cumple al definir la meta de 50 usuarios al mismo tiempo y el comportamiento en época de cierre de notas, aunque faltó detallar un poco el volumen máximo de registros en la base de datos.</t>
  </si>
  <si>
    <t>RNF-CHK-04</t>
  </si>
  <si>
    <t>Seguridad y Privacidad</t>
  </si>
  <si>
    <t>¿Incluye autenticación, autorización, cifrado (tránsito/reposo) y normas (GDPR/Habeas Data)?</t>
  </si>
  <si>
    <t>Está bien blindado; incluyeron cifrado de contraseñas, roles de usuario (Admin, Docente, Estudiante), HTTPS obligatorio y hasta la Ley 1581 de protección de datos personales.</t>
  </si>
  <si>
    <t>RNF-CHK-05</t>
  </si>
  <si>
    <t>Disponibilidad y Confiabilidad</t>
  </si>
  <si>
    <t>¿Establece % de disponibilidad (SLA, ej. 99.9%), MTBF y tiempo de recuperación (MTTR)?</t>
  </si>
  <si>
    <t>Fijaron un 95% de disponibilidad en semestre activo y un máximo de 4 horas para recuperarse si ocurre un fallo (MTTR), aunque no mencionaron explícitamente el indicador MTBF.</t>
  </si>
  <si>
    <t>RNF-CHK-06</t>
  </si>
  <si>
    <t>Usabilidad y Accesibilidad</t>
  </si>
  <si>
    <t>¿Especifica criterios de diseño de interfaz, experiencia móvil o normas WCAG 2.1?</t>
  </si>
  <si>
    <t>Mencionan que la página debe ser responsive para celulares, tablets y PC, pero quedó pendiente incluir normas de accesibilidad web tipo WCAG para usuarios con limitaciones visuales.</t>
  </si>
  <si>
    <t>RNF-CHK-07</t>
  </si>
  <si>
    <t>Mantenibilidad y Arquitectura</t>
  </si>
  <si>
    <t>¿Establece estándares de código, uso de contenedores (Docker), tests o docs de API?</t>
  </si>
  <si>
    <t>Quedó muy clara la arquitectura por capas y el uso de Git con código documentado en español, aunque para producción valdría la pena considerar el uso de Docker.</t>
  </si>
  <si>
    <t>RNF-CHK-08</t>
  </si>
  <si>
    <t>Compatibilidad e Integración</t>
  </si>
  <si>
    <t>¿Define entornos, navegadores, SO o APIs de terceros con los que debe operar?</t>
  </si>
  <si>
    <t>Detallaron bien los navegadores soportados (Chrome, Firefox, Edge) y que corre en servidores Windows o Linux sin exigir instalaciones raras en el cliente.</t>
  </si>
  <si>
    <t>RNF-CHK-09</t>
  </si>
  <si>
    <t>Fiabilidad y Tolerancia a Fallos</t>
  </si>
  <si>
    <t>¿Especifica la preservación de datos en caso de caídas, la integridad transaccional y el manejo controlado de errores sin exponer trazas técnicas?</t>
  </si>
  <si>
    <t>Quedó bien definido que ante un fallo el sistema conserva los datos registrados y le muestra un mensaje claro al usuario sin soltar la traza ni código feo de la base de datos.</t>
  </si>
  <si>
    <t>RNF-CHK-10</t>
  </si>
  <si>
    <t>Cumplimiento Legal y Normativo</t>
  </si>
  <si>
    <t>¿Define explícitamente el cumplimiento de la legislación sobre tratamiento y protección de datos personales (Habeas Data / Ley 1581 de 2012)?</t>
  </si>
  <si>
    <t>Súper bien alineado con la normatividad colombiana de tratamiento de datos personales, garantizando que la información académica sólo la consulte quien tiene permiso.</t>
  </si>
  <si>
    <t>RNF-CHK-11</t>
  </si>
  <si>
    <t>Restricciones Tecnológicas y Licenciamiento</t>
  </si>
  <si>
    <t>¿Establece claramente las restricciones de desarrollo referentes al uso exclusivo de tecnologías de código abierto/gratuitas y el stack tecnológico base?</t>
  </si>
  <si>
    <t>Tienen súper claras las reglas del proyecto: backend en Java, frontend en Angular y BD en Postgres, asegurando que todo sea 100% de uso libre sin pagar licencias.</t>
  </si>
  <si>
    <t>RNF-CHK-12</t>
  </si>
  <si>
    <t>Auditabilidad y Registro de Actividad (Logs)</t>
  </si>
  <si>
    <t>¿Especifica la generación obligatoria de registros de auditoría (logs) para el seguimiento de acciones críticas en el sistema?</t>
  </si>
  <si>
    <t>Muy bien pensado; dejaron indicado que cualquier cambio sensible como crear o editar usuarios, notas o asignaturas guardará un log de auditoría para saber qué pasó.</t>
  </si>
  <si>
    <t>GUÍA Y EJEMPLOS PRÁCTICOS DE APLICACIÓN</t>
  </si>
  <si>
    <t>Comparativa entre redacciones defectuosas y corregidas listas para pasar el checklist.</t>
  </si>
  <si>
    <t>Tipo de Requisito</t>
  </si>
  <si>
    <t>Redacción Defectuosa (❌)</t>
  </si>
  <si>
    <t>Análisis del Problema</t>
  </si>
  <si>
    <t>Redacción Corregida (✅)</t>
  </si>
  <si>
    <t>Pasa Checklist</t>
  </si>
  <si>
    <t>Requisito Funcional (RF)</t>
  </si>
  <si>
    <t>RF-012</t>
  </si>
  <si>
    <t>El sistema debe permitir gestionar facturas.</t>
  </si>
  <si>
    <t>Ambiguo, no es atómico, no especifica actor, entradas, salidas ni excepciones.</t>
  </si>
  <si>
    <t>El usuario con rol 'Contador' podrá emitir una factura en formato PDF a partir de una orden de compra en estado 'Aprobada'. Si la orden está 'Pendiente', el sistema debe mostrar el mensaje de error: 'No es posible facturar órdenes no aprobadas'.</t>
  </si>
  <si>
    <t>Sí (100%)</t>
  </si>
  <si>
    <t>Requisito No Funcional (RNF)</t>
  </si>
  <si>
    <t>RNF-004</t>
  </si>
  <si>
    <t>La aplicación debe cargar muy rápido y ser segura.</t>
  </si>
  <si>
    <t>Subjetivo, impreciso, no medible cuantitativamente ni verificable.</t>
  </si>
  <si>
    <t>El tiempo de respuesta del endpoint de autenticación /api/login no debe superar los 800 milisegundos bajo una carga simulada de 500 usuarios concurrentes, utilizando cifrado TLS 1.3 para la transmisión de credenciales.</t>
  </si>
  <si>
    <t>RF-015</t>
  </si>
  <si>
    <t>El sistema debe buscar clientes.</t>
  </si>
  <si>
    <t>Falta definir criterios de búsqueda, campos devueltos, límites de resultados y permisos.</t>
  </si>
  <si>
    <t>El usuario 'Asesor Comercial' podrá buscar clientes ingresando su NIF o nombre. El sistema devolverá una lista paginada (10 por página) con Nombre, NIF, Teléfono y Estado. Si no se hallan registros, mostrará 'Sin coincidencias'.</t>
  </si>
  <si>
    <t>RNF-008</t>
  </si>
  <si>
    <t>El sistema debe tener alta disponibilidad.</t>
  </si>
  <si>
    <t>No especifica métrica de tiempo de actividad ni métrica de recuperación ante fallos.</t>
  </si>
  <si>
    <t>El sistema debe mantener una disponibilidad del 99.9% anual (SLA), con un Tiempo Máximo de Recuperación (MTTR) no superior a 30 minutos en caso de caída crítica de la infraestructura.</t>
  </si>
  <si>
    <t>ANDRES FELIPE VELEZ - Grupo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</si>
</sst>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1B365D"/>
      <name val="Calibri"/>
      <family val="2"/>
    </font>
    <font>
      <i/>
      <sz val="11"/>
      <color rgb="FF555555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F6F9"/>
        <bgColor rgb="FFF4F6F9"/>
      </patternFill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  <fill>
      <patternFill patternType="solid">
        <fgColor rgb="FFF0F4F8"/>
        <bgColor rgb="FFF0F4F8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1B365D"/>
      </top>
      <bottom style="medium">
        <color rgb="FF1B365D"/>
      </bottom>
      <diagonal/>
    </border>
    <border>
      <left/>
      <right/>
      <top style="thin">
        <color rgb="FFD3D3D3"/>
      </top>
      <bottom style="double">
        <color rgb="FF1B365D"/>
      </bottom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rgb="FFD3D3D3"/>
      </right>
      <top/>
      <bottom style="thin">
        <color theme="0" tint="-0.14999847407452621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3">
    <xf numFmtId="0" fontId="0" fillId="0" borderId="0"/>
    <xf numFmtId="9" fontId="6" fillId="0" borderId="0"/>
    <xf numFmtId="43" fontId="6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right" vertical="center"/>
    </xf>
    <xf numFmtId="0" fontId="3" fillId="6" borderId="3" xfId="0" applyFont="1" applyFill="1" applyBorder="1" applyAlignment="1">
      <alignment horizontal="left" vertical="center" wrapText="1"/>
    </xf>
    <xf numFmtId="3" fontId="3" fillId="6" borderId="3" xfId="0" applyNumberFormat="1" applyFont="1" applyFill="1" applyBorder="1" applyAlignment="1">
      <alignment horizontal="center" vertical="center" wrapText="1"/>
    </xf>
    <xf numFmtId="164" fontId="3" fillId="6" borderId="3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9" fontId="3" fillId="2" borderId="1" xfId="1" applyFont="1" applyFill="1" applyBorder="1" applyAlignment="1">
      <alignment horizontal="center" vertical="center" wrapText="1"/>
    </xf>
    <xf numFmtId="12" fontId="0" fillId="0" borderId="0" xfId="0" applyNumberFormat="1"/>
    <xf numFmtId="0" fontId="4" fillId="4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right" vertical="center"/>
    </xf>
    <xf numFmtId="0" fontId="0" fillId="0" borderId="9" xfId="0" applyBorder="1"/>
    <xf numFmtId="0" fontId="0" fillId="0" borderId="11" xfId="0" applyBorder="1"/>
    <xf numFmtId="0" fontId="4" fillId="4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wrapText="1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4" fillId="5" borderId="1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/>
    </xf>
    <xf numFmtId="0" fontId="4" fillId="2" borderId="4" xfId="2" applyNumberFormat="1" applyFont="1" applyFill="1" applyBorder="1" applyAlignment="1">
      <alignment horizontal="left" vertical="center"/>
    </xf>
    <xf numFmtId="43" fontId="0" fillId="0" borderId="0" xfId="2" applyFont="1" applyAlignment="1"/>
    <xf numFmtId="0" fontId="5" fillId="3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% de Cumplimiento por Categoría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y Resumen'!$H$10</c:f>
              <c:strCache>
                <c:ptCount val="1"/>
                <c:pt idx="0">
                  <c:v>% Cumplimiento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y Resumen'!$J$6:$J$7</c:f>
              <c:strCache>
                <c:ptCount val="2"/>
                <c:pt idx="0">
                  <c:v>Requisitos Funcionales (RF)</c:v>
                </c:pt>
                <c:pt idx="1">
                  <c:v>Requisitos No Funcionales (RNF)</c:v>
                </c:pt>
              </c:strCache>
            </c:strRef>
          </c:cat>
          <c:val>
            <c:numRef>
              <c:f>'Dashboard y Resumen'!$P$6:$P$7</c:f>
              <c:numCache>
                <c:formatCode>0.0%</c:formatCode>
                <c:ptCount val="2"/>
                <c:pt idx="0">
                  <c:v>1</c:v>
                </c:pt>
                <c:pt idx="1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5-40CC-91CA-5827501DD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Categorías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Porcentaje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175260</xdr:colOff>
      <xdr:row>9</xdr:row>
      <xdr:rowOff>60960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4"/>
  <sheetViews>
    <sheetView workbookViewId="0">
      <selection activeCell="C6" sqref="C6:H6"/>
    </sheetView>
  </sheetViews>
  <sheetFormatPr baseColWidth="10" defaultColWidth="8.85546875" defaultRowHeight="15" x14ac:dyDescent="0.25"/>
  <cols>
    <col min="1" max="1" width="4" customWidth="1"/>
    <col min="2" max="2" width="34" customWidth="1"/>
    <col min="3" max="3" width="11.7109375" customWidth="1"/>
    <col min="4" max="4" width="7.42578125" bestFit="1" customWidth="1"/>
    <col min="5" max="5" width="10.28515625" bestFit="1" customWidth="1"/>
    <col min="6" max="6" width="4.42578125" bestFit="1" customWidth="1"/>
    <col min="7" max="7" width="11.28515625" customWidth="1"/>
    <col min="8" max="8" width="13.28515625" customWidth="1"/>
    <col min="10" max="10" width="29.7109375" customWidth="1"/>
    <col min="11" max="11" width="10.28515625" bestFit="1" customWidth="1"/>
    <col min="12" max="12" width="7.42578125" bestFit="1" customWidth="1"/>
    <col min="13" max="13" width="11.28515625" customWidth="1"/>
    <col min="14" max="14" width="4.42578125" bestFit="1" customWidth="1"/>
    <col min="15" max="15" width="11.5703125" customWidth="1"/>
    <col min="16" max="16" width="12.140625" customWidth="1"/>
  </cols>
  <sheetData>
    <row r="2" spans="2:16" ht="21" customHeight="1" x14ac:dyDescent="0.35">
      <c r="B2" s="36" t="s">
        <v>67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2:16" x14ac:dyDescent="0.25">
      <c r="B3" s="2" t="s">
        <v>68</v>
      </c>
    </row>
    <row r="4" spans="2:16" ht="15.75" customHeight="1" thickBot="1" x14ac:dyDescent="0.3"/>
    <row r="5" spans="2:16" ht="43.15" customHeight="1" thickBot="1" x14ac:dyDescent="0.3">
      <c r="B5" s="3" t="s">
        <v>69</v>
      </c>
      <c r="C5" s="34" t="s">
        <v>70</v>
      </c>
      <c r="D5" s="35"/>
      <c r="E5" s="35"/>
      <c r="F5" s="35"/>
      <c r="G5" s="35"/>
      <c r="H5" s="35"/>
      <c r="J5" s="4" t="s">
        <v>71</v>
      </c>
      <c r="K5" s="4" t="s">
        <v>72</v>
      </c>
      <c r="L5" s="4" t="s">
        <v>14</v>
      </c>
      <c r="M5" s="4" t="s">
        <v>73</v>
      </c>
      <c r="N5" s="4" t="s">
        <v>74</v>
      </c>
      <c r="O5" s="4" t="s">
        <v>75</v>
      </c>
      <c r="P5" s="4" t="s">
        <v>76</v>
      </c>
    </row>
    <row r="6" spans="2:16" x14ac:dyDescent="0.25">
      <c r="B6" s="3" t="s">
        <v>77</v>
      </c>
      <c r="C6" s="34" t="s">
        <v>164</v>
      </c>
      <c r="D6" s="35"/>
      <c r="E6" s="35"/>
      <c r="F6" s="35"/>
      <c r="G6" s="35"/>
      <c r="H6" s="35"/>
      <c r="J6" s="5" t="s">
        <v>78</v>
      </c>
      <c r="K6" s="9">
        <f>SUM(C11:C13)</f>
        <v>24</v>
      </c>
      <c r="L6" s="9">
        <f>SUM(D11:D13)</f>
        <v>24</v>
      </c>
      <c r="M6" s="9">
        <f>SUM(E11:E13)</f>
        <v>0</v>
      </c>
      <c r="N6" s="9">
        <f>SUM(F11:F13)</f>
        <v>0</v>
      </c>
      <c r="O6" s="9">
        <f>SUM(G11:G13)</f>
        <v>0</v>
      </c>
      <c r="P6" s="10">
        <f>IF(K6-N6&gt;0, L6/(K6-N6), 0)</f>
        <v>1</v>
      </c>
    </row>
    <row r="7" spans="2:16" ht="30" customHeight="1" x14ac:dyDescent="0.25">
      <c r="B7" s="3" t="s">
        <v>79</v>
      </c>
      <c r="C7" s="34" t="s">
        <v>80</v>
      </c>
      <c r="D7" s="35"/>
      <c r="E7" s="35"/>
      <c r="F7" s="35"/>
      <c r="G7" s="35"/>
      <c r="H7" s="35"/>
      <c r="J7" s="8" t="s">
        <v>81</v>
      </c>
      <c r="K7" s="9">
        <f>'Requisitos No Funcionales'!D18</f>
        <v>12</v>
      </c>
      <c r="L7" s="9">
        <f>'Requisitos No Funcionales'!D19</f>
        <v>11</v>
      </c>
      <c r="M7" s="9">
        <f>'Requisitos No Funcionales'!D20</f>
        <v>0</v>
      </c>
      <c r="N7" s="9">
        <f>'Requisitos No Funcionales'!D21</f>
        <v>0</v>
      </c>
      <c r="O7" s="9">
        <f>'Requisitos No Funcionales'!D22</f>
        <v>1</v>
      </c>
      <c r="P7" s="10">
        <f>IF(K7-N7&gt;0, L7/(K7-N7), 0)</f>
        <v>0.91666666666666663</v>
      </c>
    </row>
    <row r="8" spans="2:16" ht="15.75" customHeight="1" thickBot="1" x14ac:dyDescent="0.3">
      <c r="B8" s="3" t="s">
        <v>82</v>
      </c>
      <c r="C8" s="37">
        <v>1</v>
      </c>
      <c r="D8" s="38"/>
      <c r="E8" s="38"/>
      <c r="F8" s="38"/>
      <c r="G8" s="38"/>
      <c r="H8" s="38"/>
      <c r="J8" s="11" t="s">
        <v>83</v>
      </c>
      <c r="K8" s="12">
        <f>K6+K7</f>
        <v>36</v>
      </c>
      <c r="L8" s="12">
        <f>L6+L7</f>
        <v>35</v>
      </c>
      <c r="M8" s="12">
        <f>M6+M7</f>
        <v>0</v>
      </c>
      <c r="N8" s="12">
        <f>N6+N7</f>
        <v>0</v>
      </c>
      <c r="O8" s="12">
        <f>O6+O7</f>
        <v>1</v>
      </c>
      <c r="P8" s="13">
        <f>IF(K8-N8&gt;0, L8/(K8-N8), 0)</f>
        <v>0.97222222222222221</v>
      </c>
    </row>
    <row r="9" spans="2:16" ht="16.5" customHeight="1" thickTop="1" thickBot="1" x14ac:dyDescent="0.3"/>
    <row r="10" spans="2:16" ht="45" customHeight="1" x14ac:dyDescent="0.25">
      <c r="B10" s="4" t="s">
        <v>71</v>
      </c>
      <c r="C10" s="4" t="s">
        <v>72</v>
      </c>
      <c r="D10" s="4" t="s">
        <v>14</v>
      </c>
      <c r="E10" s="4" t="s">
        <v>73</v>
      </c>
      <c r="F10" s="4" t="s">
        <v>74</v>
      </c>
      <c r="G10" s="4" t="s">
        <v>75</v>
      </c>
      <c r="H10" s="4" t="s">
        <v>76</v>
      </c>
    </row>
    <row r="11" spans="2:16" x14ac:dyDescent="0.25">
      <c r="B11" s="5" t="s">
        <v>84</v>
      </c>
      <c r="C11" s="6">
        <f>'Requisitos Funcionales'!G7</f>
        <v>8</v>
      </c>
      <c r="D11" s="6">
        <f>'Requisitos Funcionales'!G8</f>
        <v>8</v>
      </c>
      <c r="E11" s="6">
        <f>'Requisitos Funcionales'!G9</f>
        <v>0</v>
      </c>
      <c r="F11" s="6">
        <f>'Requisitos Funcionales'!G10</f>
        <v>0</v>
      </c>
      <c r="G11" s="6">
        <f>'Requisitos Funcionales'!G11</f>
        <v>0</v>
      </c>
      <c r="H11" s="7">
        <f>IF(C11-F11&gt;0, D11/(C11-F11), 0)</f>
        <v>1</v>
      </c>
    </row>
    <row r="12" spans="2:16" x14ac:dyDescent="0.25">
      <c r="B12" s="5" t="s">
        <v>85</v>
      </c>
      <c r="C12" s="6">
        <f>'Requisitos Funcionales'!G18</f>
        <v>8</v>
      </c>
      <c r="D12" s="6">
        <f>'Requisitos Funcionales'!G19</f>
        <v>8</v>
      </c>
      <c r="E12" s="6">
        <f>'Requisitos Funcionales'!G20</f>
        <v>0</v>
      </c>
      <c r="F12" s="6">
        <f>'Requisitos Funcionales'!G21</f>
        <v>0</v>
      </c>
      <c r="G12" s="6">
        <f>'Requisitos Funcionales'!G22</f>
        <v>0</v>
      </c>
      <c r="H12" s="7">
        <f>IF(C12-F12&gt;0, D12/(C12-F12), 0)</f>
        <v>1</v>
      </c>
    </row>
    <row r="13" spans="2:16" x14ac:dyDescent="0.25">
      <c r="B13" s="5" t="s">
        <v>86</v>
      </c>
      <c r="C13" s="6">
        <f>'Requisitos Funcionales'!G29</f>
        <v>8</v>
      </c>
      <c r="D13" s="6">
        <f>'Requisitos Funcionales'!G30</f>
        <v>8</v>
      </c>
      <c r="E13" s="6">
        <f>'Requisitos Funcionales'!G31</f>
        <v>0</v>
      </c>
      <c r="F13" s="6">
        <f>'Requisitos Funcionales'!G32</f>
        <v>0</v>
      </c>
      <c r="G13" s="6">
        <f>'Requisitos Funcionales'!G33</f>
        <v>0</v>
      </c>
      <c r="H13" s="7">
        <f>IF(C13-F13&gt;0, D13/(C13-F13), 0)</f>
        <v>1</v>
      </c>
    </row>
    <row r="14" spans="2:16" x14ac:dyDescent="0.25">
      <c r="B14" s="5"/>
      <c r="C14" s="6"/>
      <c r="D14" s="6"/>
      <c r="E14" s="6"/>
      <c r="F14" s="6"/>
      <c r="G14" s="6"/>
      <c r="H14" s="7"/>
    </row>
  </sheetData>
  <mergeCells count="5">
    <mergeCell ref="C6:H6"/>
    <mergeCell ref="B2:P2"/>
    <mergeCell ref="C5:H5"/>
    <mergeCell ref="C8:H8"/>
    <mergeCell ref="C7:H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6"/>
  <sheetViews>
    <sheetView workbookViewId="0">
      <selection activeCell="C40" sqref="C40"/>
    </sheetView>
  </sheetViews>
  <sheetFormatPr baseColWidth="10" defaultColWidth="8.85546875" defaultRowHeight="15" x14ac:dyDescent="0.25"/>
  <cols>
    <col min="1" max="1" width="14" customWidth="1"/>
    <col min="2" max="2" width="32" customWidth="1"/>
    <col min="3" max="3" width="45" customWidth="1"/>
    <col min="4" max="4" width="16" customWidth="1"/>
    <col min="5" max="5" width="45" customWidth="1"/>
    <col min="6" max="6" width="19.42578125" bestFit="1" customWidth="1"/>
    <col min="8" max="8" width="20" customWidth="1"/>
  </cols>
  <sheetData>
    <row r="2" spans="1:9" ht="21" customHeight="1" x14ac:dyDescent="0.35">
      <c r="A2" s="36" t="s">
        <v>0</v>
      </c>
      <c r="B2" s="35"/>
      <c r="C2" s="35"/>
      <c r="D2" s="35"/>
      <c r="E2" s="35"/>
      <c r="F2" s="35"/>
      <c r="G2" s="35"/>
      <c r="H2" s="35"/>
    </row>
    <row r="3" spans="1:9" x14ac:dyDescent="0.25">
      <c r="A3" s="2" t="s">
        <v>1</v>
      </c>
    </row>
    <row r="4" spans="1:9" ht="14.45" customHeight="1" x14ac:dyDescent="0.25">
      <c r="A4" s="43" t="s">
        <v>2</v>
      </c>
      <c r="B4" s="35"/>
      <c r="C4" s="35"/>
      <c r="D4" s="35"/>
      <c r="E4" s="35"/>
      <c r="F4" s="35"/>
      <c r="G4" s="35"/>
      <c r="H4" s="35"/>
    </row>
    <row r="5" spans="1:9" ht="30" customHeight="1" thickBot="1" x14ac:dyDescent="0.5">
      <c r="A5" s="41" t="s">
        <v>3</v>
      </c>
      <c r="B5" s="35"/>
      <c r="C5" s="35"/>
      <c r="D5" s="35"/>
      <c r="E5" s="35"/>
      <c r="F5" s="35"/>
      <c r="G5" s="35"/>
      <c r="H5" s="35"/>
    </row>
    <row r="6" spans="1:9" ht="15.75" customHeight="1" thickBot="1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39" t="s">
        <v>9</v>
      </c>
      <c r="G6" s="40"/>
      <c r="H6" s="22" t="s">
        <v>10</v>
      </c>
    </row>
    <row r="7" spans="1:9" ht="45" customHeight="1" x14ac:dyDescent="0.25">
      <c r="A7" s="14" t="s">
        <v>11</v>
      </c>
      <c r="B7" s="15" t="s">
        <v>12</v>
      </c>
      <c r="C7" s="15" t="s">
        <v>13</v>
      </c>
      <c r="D7" s="16" t="s">
        <v>14</v>
      </c>
      <c r="E7" s="15" t="s">
        <v>15</v>
      </c>
      <c r="F7" s="20" t="s">
        <v>16</v>
      </c>
      <c r="G7" s="21">
        <f>COUNTA(D7:D14)</f>
        <v>8</v>
      </c>
      <c r="H7" s="23">
        <f>IF(G7-G10&gt;0, G8/(G7-G10), 0)</f>
        <v>1</v>
      </c>
      <c r="I7" s="24"/>
    </row>
    <row r="8" spans="1:9" ht="45" customHeight="1" x14ac:dyDescent="0.25">
      <c r="A8" s="17" t="s">
        <v>17</v>
      </c>
      <c r="B8" s="18" t="s">
        <v>18</v>
      </c>
      <c r="C8" s="18" t="s">
        <v>19</v>
      </c>
      <c r="D8" s="16" t="s">
        <v>14</v>
      </c>
      <c r="E8" s="18" t="s">
        <v>20</v>
      </c>
      <c r="F8" s="20" t="s">
        <v>21</v>
      </c>
      <c r="G8" s="21">
        <f>COUNTIF(D7:D14, "Cumple")</f>
        <v>8</v>
      </c>
    </row>
    <row r="9" spans="1:9" ht="45" customHeight="1" x14ac:dyDescent="0.25">
      <c r="A9" s="14" t="s">
        <v>22</v>
      </c>
      <c r="B9" s="15" t="s">
        <v>23</v>
      </c>
      <c r="C9" s="15" t="s">
        <v>24</v>
      </c>
      <c r="D9" s="16" t="s">
        <v>14</v>
      </c>
      <c r="E9" s="15" t="s">
        <v>25</v>
      </c>
      <c r="F9" s="20" t="s">
        <v>26</v>
      </c>
      <c r="G9" s="21">
        <f>COUNTIF(D7:D14, "No Cumple")</f>
        <v>0</v>
      </c>
    </row>
    <row r="10" spans="1:9" ht="45" customHeight="1" x14ac:dyDescent="0.25">
      <c r="A10" s="17" t="s">
        <v>27</v>
      </c>
      <c r="B10" s="18" t="s">
        <v>28</v>
      </c>
      <c r="C10" s="18" t="s">
        <v>29</v>
      </c>
      <c r="D10" s="16" t="s">
        <v>14</v>
      </c>
      <c r="E10" s="18" t="s">
        <v>30</v>
      </c>
      <c r="F10" s="20" t="s">
        <v>31</v>
      </c>
      <c r="G10" s="21">
        <f>COUNTIF(D7:D14, "N/A")</f>
        <v>0</v>
      </c>
    </row>
    <row r="11" spans="1:9" ht="60" customHeight="1" x14ac:dyDescent="0.25">
      <c r="A11" s="14" t="s">
        <v>32</v>
      </c>
      <c r="B11" s="15" t="s">
        <v>33</v>
      </c>
      <c r="C11" s="15" t="s">
        <v>34</v>
      </c>
      <c r="D11" s="16" t="s">
        <v>14</v>
      </c>
      <c r="E11" s="15" t="s">
        <v>35</v>
      </c>
      <c r="F11" s="20" t="s">
        <v>36</v>
      </c>
      <c r="G11" s="21">
        <f>COUNTIF(D7:D14, "Pendiente")</f>
        <v>0</v>
      </c>
    </row>
    <row r="12" spans="1:9" ht="45" customHeight="1" x14ac:dyDescent="0.25">
      <c r="A12" s="14" t="s">
        <v>37</v>
      </c>
      <c r="B12" s="18" t="s">
        <v>38</v>
      </c>
      <c r="C12" s="18" t="s">
        <v>39</v>
      </c>
      <c r="D12" s="16" t="s">
        <v>14</v>
      </c>
      <c r="E12" s="18" t="s">
        <v>40</v>
      </c>
      <c r="F12" s="31"/>
      <c r="G12" s="32"/>
    </row>
    <row r="13" spans="1:9" ht="45" customHeight="1" x14ac:dyDescent="0.25">
      <c r="A13" s="14" t="s">
        <v>41</v>
      </c>
      <c r="B13" s="33" t="s">
        <v>42</v>
      </c>
      <c r="C13" s="33" t="s">
        <v>43</v>
      </c>
      <c r="D13" s="16" t="s">
        <v>14</v>
      </c>
      <c r="E13" s="33" t="s">
        <v>44</v>
      </c>
    </row>
    <row r="14" spans="1:9" ht="45" customHeight="1" x14ac:dyDescent="0.25">
      <c r="A14" s="14" t="s">
        <v>45</v>
      </c>
      <c r="B14" s="15" t="s">
        <v>46</v>
      </c>
      <c r="C14" s="15" t="s">
        <v>47</v>
      </c>
      <c r="D14" s="16" t="s">
        <v>14</v>
      </c>
      <c r="E14" s="15" t="s">
        <v>48</v>
      </c>
    </row>
    <row r="15" spans="1:9" x14ac:dyDescent="0.25">
      <c r="A15" s="43" t="s">
        <v>2</v>
      </c>
      <c r="B15" s="35"/>
      <c r="C15" s="35"/>
      <c r="D15" s="35"/>
      <c r="E15" s="35"/>
      <c r="F15" s="35"/>
      <c r="G15" s="35"/>
      <c r="H15" s="35"/>
    </row>
    <row r="16" spans="1:9" ht="36.6" customHeight="1" thickBot="1" x14ac:dyDescent="0.55000000000000004">
      <c r="A16" s="44" t="s">
        <v>49</v>
      </c>
      <c r="B16" s="35"/>
      <c r="C16" s="35"/>
      <c r="D16" s="35"/>
      <c r="E16" s="35"/>
      <c r="F16" s="35"/>
      <c r="G16" s="35"/>
      <c r="H16" s="35"/>
    </row>
    <row r="17" spans="1:8" ht="15.75" customHeight="1" thickBot="1" x14ac:dyDescent="0.3">
      <c r="A17" s="4" t="s">
        <v>4</v>
      </c>
      <c r="B17" s="4" t="s">
        <v>5</v>
      </c>
      <c r="C17" s="4" t="s">
        <v>6</v>
      </c>
      <c r="D17" s="4" t="s">
        <v>7</v>
      </c>
      <c r="E17" s="4" t="s">
        <v>8</v>
      </c>
      <c r="F17" s="39" t="s">
        <v>9</v>
      </c>
      <c r="G17" s="40"/>
      <c r="H17" s="22" t="s">
        <v>10</v>
      </c>
    </row>
    <row r="18" spans="1:8" ht="45" customHeight="1" x14ac:dyDescent="0.25">
      <c r="A18" s="14" t="s">
        <v>11</v>
      </c>
      <c r="B18" s="15" t="s">
        <v>12</v>
      </c>
      <c r="C18" s="15" t="s">
        <v>13</v>
      </c>
      <c r="D18" s="16" t="s">
        <v>14</v>
      </c>
      <c r="E18" s="15" t="s">
        <v>50</v>
      </c>
      <c r="F18" s="20" t="s">
        <v>16</v>
      </c>
      <c r="G18" s="21">
        <f>COUNTA(D18:D25)</f>
        <v>8</v>
      </c>
      <c r="H18" s="23">
        <f>IF(G18-G21&gt;0, G19/(G18-G21), 0)</f>
        <v>1</v>
      </c>
    </row>
    <row r="19" spans="1:8" ht="45" customHeight="1" x14ac:dyDescent="0.25">
      <c r="A19" s="17" t="s">
        <v>17</v>
      </c>
      <c r="B19" s="18" t="s">
        <v>18</v>
      </c>
      <c r="C19" s="18" t="s">
        <v>19</v>
      </c>
      <c r="D19" s="16" t="s">
        <v>14</v>
      </c>
      <c r="E19" s="18" t="s">
        <v>51</v>
      </c>
      <c r="F19" s="20" t="s">
        <v>21</v>
      </c>
      <c r="G19" s="21">
        <f>COUNTIF(D18:D25, "Cumple")</f>
        <v>8</v>
      </c>
    </row>
    <row r="20" spans="1:8" ht="45" customHeight="1" x14ac:dyDescent="0.25">
      <c r="A20" s="14" t="s">
        <v>22</v>
      </c>
      <c r="B20" s="15" t="s">
        <v>23</v>
      </c>
      <c r="C20" s="15" t="s">
        <v>24</v>
      </c>
      <c r="D20" s="16" t="s">
        <v>14</v>
      </c>
      <c r="E20" s="15" t="s">
        <v>52</v>
      </c>
      <c r="F20" s="20" t="s">
        <v>26</v>
      </c>
      <c r="G20" s="21">
        <f>COUNTIF(D18:D25, "No Cumple")</f>
        <v>0</v>
      </c>
    </row>
    <row r="21" spans="1:8" ht="45" customHeight="1" x14ac:dyDescent="0.25">
      <c r="A21" s="17" t="s">
        <v>27</v>
      </c>
      <c r="B21" s="18" t="s">
        <v>28</v>
      </c>
      <c r="C21" s="18" t="s">
        <v>29</v>
      </c>
      <c r="D21" s="16" t="s">
        <v>14</v>
      </c>
      <c r="E21" s="18" t="s">
        <v>53</v>
      </c>
      <c r="F21" s="20" t="s">
        <v>31</v>
      </c>
      <c r="G21" s="21">
        <f>COUNTIF(D18:D25, "N/A")</f>
        <v>0</v>
      </c>
    </row>
    <row r="22" spans="1:8" ht="45" customHeight="1" x14ac:dyDescent="0.25">
      <c r="A22" s="14" t="s">
        <v>32</v>
      </c>
      <c r="B22" s="15" t="s">
        <v>33</v>
      </c>
      <c r="C22" s="15" t="s">
        <v>34</v>
      </c>
      <c r="D22" s="16" t="s">
        <v>14</v>
      </c>
      <c r="E22" s="15" t="s">
        <v>54</v>
      </c>
      <c r="F22" s="20" t="s">
        <v>36</v>
      </c>
      <c r="G22" s="21">
        <f>COUNTIF(D18:D25, "Pendiente")</f>
        <v>0</v>
      </c>
    </row>
    <row r="23" spans="1:8" ht="45" customHeight="1" x14ac:dyDescent="0.25">
      <c r="A23" s="17" t="s">
        <v>37</v>
      </c>
      <c r="B23" s="18" t="s">
        <v>38</v>
      </c>
      <c r="C23" s="18" t="s">
        <v>39</v>
      </c>
      <c r="D23" s="16" t="s">
        <v>14</v>
      </c>
      <c r="E23" s="18" t="s">
        <v>55</v>
      </c>
    </row>
    <row r="24" spans="1:8" ht="45" customHeight="1" x14ac:dyDescent="0.25">
      <c r="A24" s="14" t="s">
        <v>41</v>
      </c>
      <c r="B24" s="33" t="s">
        <v>42</v>
      </c>
      <c r="C24" s="33" t="s">
        <v>43</v>
      </c>
      <c r="D24" s="16" t="s">
        <v>14</v>
      </c>
      <c r="E24" s="18" t="s">
        <v>56</v>
      </c>
    </row>
    <row r="25" spans="1:8" ht="45" customHeight="1" x14ac:dyDescent="0.25">
      <c r="A25" s="14" t="s">
        <v>45</v>
      </c>
      <c r="B25" s="15" t="s">
        <v>46</v>
      </c>
      <c r="C25" s="15" t="s">
        <v>47</v>
      </c>
      <c r="D25" s="16" t="s">
        <v>14</v>
      </c>
      <c r="E25" s="15" t="s">
        <v>57</v>
      </c>
    </row>
    <row r="26" spans="1:8" x14ac:dyDescent="0.25">
      <c r="A26" s="43" t="s">
        <v>2</v>
      </c>
      <c r="B26" s="35"/>
      <c r="C26" s="35"/>
      <c r="D26" s="35"/>
      <c r="E26" s="35"/>
      <c r="F26" s="35"/>
      <c r="G26" s="35"/>
      <c r="H26" s="35"/>
    </row>
    <row r="27" spans="1:8" ht="36.75" customHeight="1" thickBot="1" x14ac:dyDescent="0.6">
      <c r="A27" s="42" t="s">
        <v>58</v>
      </c>
      <c r="B27" s="35"/>
      <c r="C27" s="35"/>
      <c r="D27" s="35"/>
      <c r="E27" s="35"/>
      <c r="F27" s="35"/>
      <c r="G27" s="35"/>
      <c r="H27" s="35"/>
    </row>
    <row r="28" spans="1:8" ht="15.75" customHeight="1" thickBot="1" x14ac:dyDescent="0.3">
      <c r="A28" s="4" t="s">
        <v>4</v>
      </c>
      <c r="B28" s="4" t="s">
        <v>5</v>
      </c>
      <c r="C28" s="4" t="s">
        <v>6</v>
      </c>
      <c r="D28" s="4" t="s">
        <v>7</v>
      </c>
      <c r="E28" s="4" t="s">
        <v>8</v>
      </c>
      <c r="F28" s="39" t="s">
        <v>9</v>
      </c>
      <c r="G28" s="40"/>
      <c r="H28" s="22" t="s">
        <v>10</v>
      </c>
    </row>
    <row r="29" spans="1:8" ht="45" customHeight="1" x14ac:dyDescent="0.25">
      <c r="A29" s="14" t="s">
        <v>11</v>
      </c>
      <c r="B29" s="15" t="s">
        <v>12</v>
      </c>
      <c r="C29" s="15" t="s">
        <v>13</v>
      </c>
      <c r="D29" s="16" t="s">
        <v>14</v>
      </c>
      <c r="E29" s="15" t="s">
        <v>59</v>
      </c>
      <c r="F29" s="20" t="s">
        <v>16</v>
      </c>
      <c r="G29" s="21">
        <f>COUNTA(D29:D36)</f>
        <v>8</v>
      </c>
      <c r="H29" s="23">
        <f>IF(G29-G32&gt;0, G30/(G29-G32), 0)</f>
        <v>1</v>
      </c>
    </row>
    <row r="30" spans="1:8" ht="45" customHeight="1" x14ac:dyDescent="0.25">
      <c r="A30" s="17" t="s">
        <v>17</v>
      </c>
      <c r="B30" s="18" t="s">
        <v>18</v>
      </c>
      <c r="C30" s="18" t="s">
        <v>19</v>
      </c>
      <c r="D30" s="16" t="s">
        <v>14</v>
      </c>
      <c r="E30" s="18" t="s">
        <v>60</v>
      </c>
      <c r="F30" s="20" t="s">
        <v>21</v>
      </c>
      <c r="G30" s="21">
        <f>COUNTIF(D29:D36, "Cumple")</f>
        <v>8</v>
      </c>
    </row>
    <row r="31" spans="1:8" ht="45" customHeight="1" x14ac:dyDescent="0.25">
      <c r="A31" s="14" t="s">
        <v>22</v>
      </c>
      <c r="B31" s="15" t="s">
        <v>23</v>
      </c>
      <c r="C31" s="15" t="s">
        <v>24</v>
      </c>
      <c r="D31" s="16" t="s">
        <v>14</v>
      </c>
      <c r="E31" s="15" t="s">
        <v>61</v>
      </c>
      <c r="F31" s="20" t="s">
        <v>26</v>
      </c>
      <c r="G31" s="21">
        <f>COUNTIF(D29:D36, "No Cumple")</f>
        <v>0</v>
      </c>
    </row>
    <row r="32" spans="1:8" ht="45" customHeight="1" x14ac:dyDescent="0.25">
      <c r="A32" s="17" t="s">
        <v>27</v>
      </c>
      <c r="B32" s="18" t="s">
        <v>28</v>
      </c>
      <c r="C32" s="18" t="s">
        <v>29</v>
      </c>
      <c r="D32" s="16" t="s">
        <v>14</v>
      </c>
      <c r="E32" s="18" t="s">
        <v>62</v>
      </c>
      <c r="F32" s="20" t="s">
        <v>31</v>
      </c>
      <c r="G32" s="21">
        <f>COUNTIF(D29:D36, "N/A")</f>
        <v>0</v>
      </c>
    </row>
    <row r="33" spans="1:7" ht="45" customHeight="1" x14ac:dyDescent="0.25">
      <c r="A33" s="14" t="s">
        <v>32</v>
      </c>
      <c r="B33" s="15" t="s">
        <v>33</v>
      </c>
      <c r="C33" s="15" t="s">
        <v>34</v>
      </c>
      <c r="D33" s="16" t="s">
        <v>14</v>
      </c>
      <c r="E33" s="15" t="s">
        <v>63</v>
      </c>
      <c r="F33" s="20" t="s">
        <v>36</v>
      </c>
      <c r="G33" s="21">
        <f>COUNTIF(D29:D36, "Pendiente")</f>
        <v>0</v>
      </c>
    </row>
    <row r="34" spans="1:7" ht="45" customHeight="1" x14ac:dyDescent="0.25">
      <c r="A34" s="17" t="s">
        <v>37</v>
      </c>
      <c r="B34" s="18" t="s">
        <v>38</v>
      </c>
      <c r="C34" s="18" t="s">
        <v>39</v>
      </c>
      <c r="D34" s="16" t="s">
        <v>14</v>
      </c>
      <c r="E34" s="18" t="s">
        <v>64</v>
      </c>
    </row>
    <row r="35" spans="1:7" ht="45" customHeight="1" x14ac:dyDescent="0.25">
      <c r="A35" s="14" t="s">
        <v>41</v>
      </c>
      <c r="B35" s="33" t="s">
        <v>42</v>
      </c>
      <c r="C35" s="33" t="s">
        <v>43</v>
      </c>
      <c r="D35" s="16" t="s">
        <v>14</v>
      </c>
      <c r="E35" s="18" t="s">
        <v>65</v>
      </c>
    </row>
    <row r="36" spans="1:7" ht="45" customHeight="1" x14ac:dyDescent="0.25">
      <c r="A36" s="14" t="s">
        <v>45</v>
      </c>
      <c r="B36" s="15" t="s">
        <v>46</v>
      </c>
      <c r="C36" s="15" t="s">
        <v>47</v>
      </c>
      <c r="D36" s="16" t="s">
        <v>14</v>
      </c>
      <c r="E36" s="15" t="s">
        <v>66</v>
      </c>
    </row>
  </sheetData>
  <mergeCells count="10">
    <mergeCell ref="A2:H2"/>
    <mergeCell ref="F6:G6"/>
    <mergeCell ref="F28:G28"/>
    <mergeCell ref="A5:H5"/>
    <mergeCell ref="A27:H27"/>
    <mergeCell ref="F17:G17"/>
    <mergeCell ref="A4:H4"/>
    <mergeCell ref="A26:H26"/>
    <mergeCell ref="A15:H15"/>
    <mergeCell ref="A16:H16"/>
  </mergeCells>
  <dataValidations count="1">
    <dataValidation type="list" allowBlank="1" errorTitle="Entrada inválida" error="Valor no válido" promptTitle="Estado de Verificación" prompt="Seleccione un estado de la lista" sqref="D7:D14 D18:D25 D29:D36" xr:uid="{00000000-0002-0000-0100-000000000000}">
      <formula1>"Cumple,No Cumple,N/A,Pendiente"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6"/>
  <sheetViews>
    <sheetView tabSelected="1" workbookViewId="0">
      <selection activeCell="L6" sqref="L6"/>
    </sheetView>
  </sheetViews>
  <sheetFormatPr baseColWidth="10" defaultColWidth="8.85546875" defaultRowHeight="15" x14ac:dyDescent="0.25"/>
  <cols>
    <col min="1" max="1" width="14" customWidth="1"/>
    <col min="2" max="2" width="32" customWidth="1"/>
    <col min="3" max="3" width="45" customWidth="1"/>
    <col min="4" max="4" width="16" customWidth="1"/>
    <col min="5" max="5" width="45" customWidth="1"/>
  </cols>
  <sheetData>
    <row r="2" spans="1:5" ht="21" customHeight="1" x14ac:dyDescent="0.35">
      <c r="A2" s="1" t="s">
        <v>87</v>
      </c>
    </row>
    <row r="3" spans="1:5" x14ac:dyDescent="0.25">
      <c r="A3" s="2" t="s">
        <v>88</v>
      </c>
    </row>
    <row r="4" spans="1:5" ht="15.75" customHeight="1" thickBot="1" x14ac:dyDescent="0.3"/>
    <row r="5" spans="1:5" ht="15.75" customHeight="1" thickBot="1" x14ac:dyDescent="0.3">
      <c r="A5" s="4" t="s">
        <v>4</v>
      </c>
      <c r="B5" s="4" t="s">
        <v>89</v>
      </c>
      <c r="C5" s="4" t="s">
        <v>6</v>
      </c>
      <c r="D5" s="4" t="s">
        <v>7</v>
      </c>
      <c r="E5" s="4" t="s">
        <v>8</v>
      </c>
    </row>
    <row r="6" spans="1:5" ht="75" customHeight="1" x14ac:dyDescent="0.25">
      <c r="A6" s="14" t="s">
        <v>90</v>
      </c>
      <c r="B6" s="15" t="s">
        <v>91</v>
      </c>
      <c r="C6" s="15" t="s">
        <v>92</v>
      </c>
      <c r="D6" s="16" t="s">
        <v>14</v>
      </c>
      <c r="E6" s="15" t="s">
        <v>93</v>
      </c>
    </row>
    <row r="7" spans="1:5" ht="75" customHeight="1" x14ac:dyDescent="0.25">
      <c r="A7" s="17" t="s">
        <v>94</v>
      </c>
      <c r="B7" s="18" t="s">
        <v>95</v>
      </c>
      <c r="C7" s="18" t="s">
        <v>96</v>
      </c>
      <c r="D7" s="16" t="s">
        <v>14</v>
      </c>
      <c r="E7" s="18" t="s">
        <v>97</v>
      </c>
    </row>
    <row r="8" spans="1:5" ht="75" customHeight="1" x14ac:dyDescent="0.25">
      <c r="A8" s="14" t="s">
        <v>98</v>
      </c>
      <c r="B8" s="15" t="s">
        <v>99</v>
      </c>
      <c r="C8" s="15" t="s">
        <v>100</v>
      </c>
      <c r="D8" s="16" t="s">
        <v>14</v>
      </c>
      <c r="E8" s="15" t="s">
        <v>101</v>
      </c>
    </row>
    <row r="9" spans="1:5" ht="60" customHeight="1" x14ac:dyDescent="0.25">
      <c r="A9" s="17" t="s">
        <v>102</v>
      </c>
      <c r="B9" s="18" t="s">
        <v>103</v>
      </c>
      <c r="C9" s="18" t="s">
        <v>104</v>
      </c>
      <c r="D9" s="16" t="s">
        <v>14</v>
      </c>
      <c r="E9" s="18" t="s">
        <v>105</v>
      </c>
    </row>
    <row r="10" spans="1:5" ht="60" customHeight="1" x14ac:dyDescent="0.25">
      <c r="A10" s="14" t="s">
        <v>106</v>
      </c>
      <c r="B10" s="15" t="s">
        <v>107</v>
      </c>
      <c r="C10" s="15" t="s">
        <v>108</v>
      </c>
      <c r="D10" s="16" t="s">
        <v>14</v>
      </c>
      <c r="E10" s="15" t="s">
        <v>109</v>
      </c>
    </row>
    <row r="11" spans="1:5" ht="75" customHeight="1" x14ac:dyDescent="0.25">
      <c r="A11" s="17" t="s">
        <v>110</v>
      </c>
      <c r="B11" s="18" t="s">
        <v>111</v>
      </c>
      <c r="C11" s="18" t="s">
        <v>112</v>
      </c>
      <c r="D11" s="16" t="s">
        <v>75</v>
      </c>
      <c r="E11" s="15" t="s">
        <v>113</v>
      </c>
    </row>
    <row r="12" spans="1:5" ht="60" customHeight="1" x14ac:dyDescent="0.25">
      <c r="A12" s="14" t="s">
        <v>114</v>
      </c>
      <c r="B12" s="15" t="s">
        <v>115</v>
      </c>
      <c r="C12" s="15" t="s">
        <v>116</v>
      </c>
      <c r="D12" s="16" t="s">
        <v>14</v>
      </c>
      <c r="E12" s="15" t="s">
        <v>117</v>
      </c>
    </row>
    <row r="13" spans="1:5" ht="60" customHeight="1" x14ac:dyDescent="0.25">
      <c r="A13" s="17" t="s">
        <v>118</v>
      </c>
      <c r="B13" s="25" t="s">
        <v>119</v>
      </c>
      <c r="C13" s="25" t="s">
        <v>120</v>
      </c>
      <c r="D13" s="16" t="s">
        <v>14</v>
      </c>
      <c r="E13" s="18" t="s">
        <v>121</v>
      </c>
    </row>
    <row r="14" spans="1:5" ht="60" customHeight="1" x14ac:dyDescent="0.25">
      <c r="A14" s="17" t="s">
        <v>122</v>
      </c>
      <c r="B14" s="29" t="s">
        <v>123</v>
      </c>
      <c r="C14" s="29" t="s">
        <v>124</v>
      </c>
      <c r="D14" s="16" t="s">
        <v>14</v>
      </c>
      <c r="E14" s="18" t="s">
        <v>125</v>
      </c>
    </row>
    <row r="15" spans="1:5" ht="60" customHeight="1" x14ac:dyDescent="0.25">
      <c r="A15" s="17" t="s">
        <v>126</v>
      </c>
      <c r="B15" s="29" t="s">
        <v>127</v>
      </c>
      <c r="C15" s="29" t="s">
        <v>128</v>
      </c>
      <c r="D15" s="16" t="s">
        <v>14</v>
      </c>
      <c r="E15" s="18" t="s">
        <v>129</v>
      </c>
    </row>
    <row r="16" spans="1:5" ht="60" customHeight="1" x14ac:dyDescent="0.25">
      <c r="A16" s="17" t="s">
        <v>130</v>
      </c>
      <c r="B16" s="30" t="s">
        <v>131</v>
      </c>
      <c r="C16" s="30" t="s">
        <v>132</v>
      </c>
      <c r="D16" s="16" t="s">
        <v>14</v>
      </c>
      <c r="E16" s="15" t="s">
        <v>133</v>
      </c>
    </row>
    <row r="17" spans="1:5" ht="60" customHeight="1" x14ac:dyDescent="0.25">
      <c r="A17" s="17" t="s">
        <v>134</v>
      </c>
      <c r="B17" s="30" t="s">
        <v>135</v>
      </c>
      <c r="C17" s="30" t="s">
        <v>136</v>
      </c>
      <c r="D17" s="16" t="s">
        <v>14</v>
      </c>
      <c r="E17" s="18" t="s">
        <v>137</v>
      </c>
    </row>
    <row r="18" spans="1:5" x14ac:dyDescent="0.25">
      <c r="C18" s="26" t="s">
        <v>16</v>
      </c>
      <c r="D18" s="21">
        <f>COUNTA(D6:D17)</f>
        <v>12</v>
      </c>
    </row>
    <row r="19" spans="1:5" x14ac:dyDescent="0.25">
      <c r="C19" s="20" t="s">
        <v>21</v>
      </c>
      <c r="D19" s="21">
        <f>COUNTIF(D6:D17, "Cumple")</f>
        <v>11</v>
      </c>
    </row>
    <row r="20" spans="1:5" x14ac:dyDescent="0.25">
      <c r="C20" s="20" t="s">
        <v>26</v>
      </c>
      <c r="D20" s="21">
        <f>COUNTIF(D6:D17, "No Cumple")</f>
        <v>0</v>
      </c>
    </row>
    <row r="21" spans="1:5" x14ac:dyDescent="0.25">
      <c r="B21" s="28"/>
      <c r="C21" s="20" t="s">
        <v>31</v>
      </c>
      <c r="D21" s="21">
        <f>COUNTIF(D6:D17, "N/A")</f>
        <v>0</v>
      </c>
    </row>
    <row r="22" spans="1:5" x14ac:dyDescent="0.25">
      <c r="C22" s="20" t="s">
        <v>36</v>
      </c>
      <c r="D22" s="21">
        <f>COUNTIF(D6:D17, "Pendiente")</f>
        <v>1</v>
      </c>
    </row>
    <row r="24" spans="1:5" x14ac:dyDescent="0.25">
      <c r="B24" s="27"/>
    </row>
    <row r="26" spans="1:5" x14ac:dyDescent="0.25">
      <c r="B26" s="27"/>
    </row>
  </sheetData>
  <dataValidations count="1">
    <dataValidation type="list" allowBlank="1" errorTitle="Entrada inválida" error="Valor no válido" promptTitle="Estado de Verificación" prompt="Seleccione un estado de la lista" sqref="D6:D18" xr:uid="{00000000-0002-0000-0200-000000000000}">
      <formula1>"Cumple,No Cumple,N/A,Pendiente"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9"/>
  <sheetViews>
    <sheetView workbookViewId="0">
      <selection activeCell="F6" sqref="F6"/>
    </sheetView>
  </sheetViews>
  <sheetFormatPr baseColWidth="10" defaultColWidth="8.85546875" defaultRowHeight="15" x14ac:dyDescent="0.25"/>
  <cols>
    <col min="1" max="1" width="25" customWidth="1"/>
    <col min="2" max="2" width="12" customWidth="1"/>
    <col min="3" max="4" width="35" customWidth="1"/>
    <col min="5" max="5" width="45" customWidth="1"/>
    <col min="6" max="6" width="16" customWidth="1"/>
  </cols>
  <sheetData>
    <row r="2" spans="1:6" ht="21" customHeight="1" x14ac:dyDescent="0.35">
      <c r="A2" s="1" t="s">
        <v>138</v>
      </c>
    </row>
    <row r="3" spans="1:6" x14ac:dyDescent="0.25">
      <c r="A3" s="2" t="s">
        <v>139</v>
      </c>
    </row>
    <row r="5" spans="1:6" x14ac:dyDescent="0.25">
      <c r="A5" s="4" t="s">
        <v>140</v>
      </c>
      <c r="B5" s="4" t="s">
        <v>4</v>
      </c>
      <c r="C5" s="4" t="s">
        <v>141</v>
      </c>
      <c r="D5" s="4" t="s">
        <v>142</v>
      </c>
      <c r="E5" s="4" t="s">
        <v>143</v>
      </c>
      <c r="F5" s="4" t="s">
        <v>144</v>
      </c>
    </row>
    <row r="6" spans="1:6" ht="90" customHeight="1" x14ac:dyDescent="0.25">
      <c r="A6" s="16" t="s">
        <v>145</v>
      </c>
      <c r="B6" s="14" t="s">
        <v>146</v>
      </c>
      <c r="C6" s="15" t="s">
        <v>147</v>
      </c>
      <c r="D6" s="15" t="s">
        <v>148</v>
      </c>
      <c r="E6" s="15" t="s">
        <v>149</v>
      </c>
      <c r="F6" s="14" t="s">
        <v>150</v>
      </c>
    </row>
    <row r="7" spans="1:6" ht="75" customHeight="1" x14ac:dyDescent="0.25">
      <c r="A7" s="19" t="s">
        <v>151</v>
      </c>
      <c r="B7" s="17" t="s">
        <v>152</v>
      </c>
      <c r="C7" s="18" t="s">
        <v>153</v>
      </c>
      <c r="D7" s="18" t="s">
        <v>154</v>
      </c>
      <c r="E7" s="18" t="s">
        <v>155</v>
      </c>
      <c r="F7" s="17" t="s">
        <v>150</v>
      </c>
    </row>
    <row r="8" spans="1:6" ht="75" customHeight="1" x14ac:dyDescent="0.25">
      <c r="A8" s="16" t="s">
        <v>145</v>
      </c>
      <c r="B8" s="14" t="s">
        <v>156</v>
      </c>
      <c r="C8" s="15" t="s">
        <v>157</v>
      </c>
      <c r="D8" s="15" t="s">
        <v>158</v>
      </c>
      <c r="E8" s="15" t="s">
        <v>159</v>
      </c>
      <c r="F8" s="14" t="s">
        <v>150</v>
      </c>
    </row>
    <row r="9" spans="1:6" ht="60" customHeight="1" x14ac:dyDescent="0.25">
      <c r="A9" s="19" t="s">
        <v>151</v>
      </c>
      <c r="B9" s="17" t="s">
        <v>160</v>
      </c>
      <c r="C9" s="18" t="s">
        <v>161</v>
      </c>
      <c r="D9" s="18" t="s">
        <v>162</v>
      </c>
      <c r="E9" s="18" t="s">
        <v>163</v>
      </c>
      <c r="F9" s="17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 y Resumen</vt:lpstr>
      <vt:lpstr>Requisitos Funcionales</vt:lpstr>
      <vt:lpstr>Requisitos No Funcionales</vt:lpstr>
      <vt:lpstr>Ejemplos Prácticos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Felipe Velez Alcaraz</cp:lastModifiedBy>
  <dcterms:created xsi:type="dcterms:W3CDTF">2026-08-05T00:25:01Z</dcterms:created>
  <dcterms:modified xsi:type="dcterms:W3CDTF">2026-08-13T00:35:44Z</dcterms:modified>
</cp:coreProperties>
</file>