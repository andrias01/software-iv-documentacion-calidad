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EF72FE07-DD1F-4C2A-BC8F-30DBA4C6F9CE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Instrucciones" sheetId="1" r:id="rId1"/>
    <sheet name="Configuracion" sheetId="2" r:id="rId2"/>
    <sheet name="Criterios" sheetId="3" r:id="rId3"/>
    <sheet name="C1" sheetId="4" r:id="rId4"/>
    <sheet name="C2" sheetId="5" r:id="rId5"/>
    <sheet name="C3" sheetId="6" r:id="rId6"/>
    <sheet name="C4" sheetId="7" r:id="rId7"/>
    <sheet name="C5" sheetId="8" r:id="rId8"/>
    <sheet name="C6" sheetId="9" r:id="rId9"/>
    <sheet name="C7" sheetId="10" r:id="rId10"/>
    <sheet name="C8" sheetId="11" r:id="rId11"/>
    <sheet name="Resultado" sheetId="12" r:id="rId12"/>
    <sheet name="MATRIZ PONDERADA" sheetId="13" r:id="rId13"/>
  </sheets>
  <definedNames>
    <definedName name="Alternativas_nombres">Configuracion!$E$13:$E$20</definedName>
    <definedName name="Criterios_nombres">Configuracion!$C$13:$C$20</definedName>
    <definedName name="nA">Configuracion!$D$8</definedName>
    <definedName name="nC">Configuracion!$D$7</definedName>
    <definedName name="RI_tabla">Instrucciones!$C$42:$C$51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3" l="1"/>
  <c r="E19" i="13"/>
  <c r="F19" i="13"/>
  <c r="G19" i="13"/>
  <c r="C19" i="13"/>
  <c r="B19" i="13"/>
  <c r="C6" i="13"/>
  <c r="D6" i="13"/>
  <c r="E6" i="13"/>
  <c r="F6" i="13"/>
  <c r="G6" i="13"/>
  <c r="B6" i="13"/>
  <c r="B31" i="12"/>
  <c r="B30" i="12"/>
  <c r="B29" i="12"/>
  <c r="B28" i="12"/>
  <c r="B27" i="12"/>
  <c r="B26" i="12"/>
  <c r="B25" i="12"/>
  <c r="B24" i="12"/>
  <c r="L18" i="12"/>
  <c r="K18" i="12"/>
  <c r="J18" i="12"/>
  <c r="I18" i="12"/>
  <c r="H18" i="12"/>
  <c r="G18" i="12"/>
  <c r="F18" i="12"/>
  <c r="E18" i="12"/>
  <c r="D18" i="12"/>
  <c r="C18" i="12"/>
  <c r="B18" i="12"/>
  <c r="L17" i="12"/>
  <c r="K17" i="12"/>
  <c r="J17" i="12"/>
  <c r="I17" i="12"/>
  <c r="H17" i="12"/>
  <c r="G17" i="12"/>
  <c r="F17" i="12"/>
  <c r="E17" i="12"/>
  <c r="D17" i="12"/>
  <c r="C17" i="12"/>
  <c r="B17" i="12"/>
  <c r="L16" i="12"/>
  <c r="K16" i="12"/>
  <c r="J16" i="12"/>
  <c r="I16" i="12"/>
  <c r="H16" i="12"/>
  <c r="G16" i="12"/>
  <c r="F16" i="12"/>
  <c r="E16" i="12"/>
  <c r="D16" i="12"/>
  <c r="C16" i="12"/>
  <c r="B16" i="12"/>
  <c r="L15" i="12"/>
  <c r="K15" i="12"/>
  <c r="J15" i="12"/>
  <c r="I15" i="12"/>
  <c r="H15" i="12"/>
  <c r="G15" i="12"/>
  <c r="F15" i="12"/>
  <c r="E15" i="12"/>
  <c r="D15" i="12"/>
  <c r="C15" i="12"/>
  <c r="B15" i="12"/>
  <c r="L14" i="12"/>
  <c r="K14" i="12"/>
  <c r="J14" i="12"/>
  <c r="I14" i="12"/>
  <c r="H14" i="12"/>
  <c r="G14" i="12"/>
  <c r="F14" i="12"/>
  <c r="E14" i="12"/>
  <c r="D14" i="12"/>
  <c r="C14" i="12"/>
  <c r="B14" i="12"/>
  <c r="B13" i="12"/>
  <c r="B12" i="12"/>
  <c r="B11" i="12"/>
  <c r="J10" i="12"/>
  <c r="I10" i="12"/>
  <c r="H10" i="12"/>
  <c r="G10" i="12"/>
  <c r="F10" i="12"/>
  <c r="E10" i="12"/>
  <c r="D10" i="12"/>
  <c r="C10" i="12"/>
  <c r="J6" i="12"/>
  <c r="I6" i="12"/>
  <c r="H6" i="12"/>
  <c r="G6" i="12"/>
  <c r="F6" i="12"/>
  <c r="E6" i="12"/>
  <c r="D6" i="12"/>
  <c r="C6" i="12"/>
  <c r="C60" i="11"/>
  <c r="C58" i="11"/>
  <c r="E54" i="11"/>
  <c r="D54" i="11"/>
  <c r="C54" i="11"/>
  <c r="B54" i="11"/>
  <c r="E53" i="11"/>
  <c r="D53" i="11"/>
  <c r="C53" i="11"/>
  <c r="B53" i="11"/>
  <c r="E52" i="11"/>
  <c r="D52" i="11"/>
  <c r="C52" i="11"/>
  <c r="B52" i="11"/>
  <c r="E51" i="11"/>
  <c r="D51" i="11"/>
  <c r="C51" i="11"/>
  <c r="B51" i="11"/>
  <c r="E50" i="11"/>
  <c r="D50" i="11"/>
  <c r="C50" i="11"/>
  <c r="B50" i="11"/>
  <c r="B49" i="11"/>
  <c r="B48" i="11"/>
  <c r="B47" i="11"/>
  <c r="J43" i="11"/>
  <c r="I43" i="11"/>
  <c r="H43" i="11"/>
  <c r="G43" i="11"/>
  <c r="F43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B35" i="11"/>
  <c r="B34" i="11"/>
  <c r="B33" i="11"/>
  <c r="J29" i="11"/>
  <c r="I29" i="11"/>
  <c r="H29" i="11"/>
  <c r="G29" i="11"/>
  <c r="F29" i="11"/>
  <c r="E29" i="11"/>
  <c r="D29" i="11"/>
  <c r="C29" i="11"/>
  <c r="B29" i="11"/>
  <c r="J28" i="11"/>
  <c r="I28" i="11"/>
  <c r="H28" i="11"/>
  <c r="G28" i="11"/>
  <c r="F28" i="11"/>
  <c r="E28" i="11"/>
  <c r="D28" i="11"/>
  <c r="C28" i="11"/>
  <c r="B28" i="11"/>
  <c r="J27" i="11"/>
  <c r="I27" i="11"/>
  <c r="H27" i="11"/>
  <c r="G27" i="11"/>
  <c r="F27" i="11"/>
  <c r="E27" i="11"/>
  <c r="D27" i="11"/>
  <c r="C27" i="11"/>
  <c r="B27" i="11"/>
  <c r="J26" i="11"/>
  <c r="I26" i="11"/>
  <c r="H26" i="11"/>
  <c r="G26" i="11"/>
  <c r="F26" i="11"/>
  <c r="E26" i="11"/>
  <c r="D26" i="11"/>
  <c r="C26" i="11"/>
  <c r="B26" i="11"/>
  <c r="J25" i="11"/>
  <c r="I25" i="11"/>
  <c r="H25" i="11"/>
  <c r="G25" i="11"/>
  <c r="F25" i="11"/>
  <c r="E25" i="11"/>
  <c r="D25" i="11"/>
  <c r="C25" i="11"/>
  <c r="B25" i="11"/>
  <c r="J24" i="11"/>
  <c r="I24" i="11"/>
  <c r="H24" i="11"/>
  <c r="G24" i="11"/>
  <c r="F24" i="11"/>
  <c r="B24" i="11"/>
  <c r="J23" i="11"/>
  <c r="I23" i="11"/>
  <c r="H23" i="11"/>
  <c r="G23" i="11"/>
  <c r="F23" i="11"/>
  <c r="B23" i="11"/>
  <c r="J22" i="11"/>
  <c r="I22" i="11"/>
  <c r="H22" i="11"/>
  <c r="G22" i="11"/>
  <c r="F22" i="11"/>
  <c r="B22" i="11"/>
  <c r="J21" i="11"/>
  <c r="I21" i="11"/>
  <c r="H21" i="11"/>
  <c r="G21" i="11"/>
  <c r="F21" i="11"/>
  <c r="E21" i="11"/>
  <c r="D21" i="11"/>
  <c r="C21" i="11"/>
  <c r="J18" i="11"/>
  <c r="I18" i="11"/>
  <c r="H18" i="11"/>
  <c r="G18" i="11"/>
  <c r="F18" i="11"/>
  <c r="C18" i="11"/>
  <c r="C23" i="11" s="1"/>
  <c r="J15" i="11"/>
  <c r="I15" i="11"/>
  <c r="H15" i="11"/>
  <c r="G15" i="11"/>
  <c r="F15" i="11"/>
  <c r="E15" i="11"/>
  <c r="D15" i="11"/>
  <c r="C15" i="11"/>
  <c r="B15" i="11"/>
  <c r="I14" i="11"/>
  <c r="H14" i="11"/>
  <c r="G14" i="11"/>
  <c r="F14" i="11"/>
  <c r="E14" i="11"/>
  <c r="D14" i="11"/>
  <c r="C14" i="11"/>
  <c r="B14" i="11"/>
  <c r="H13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F11" i="11"/>
  <c r="E11" i="11"/>
  <c r="D11" i="11"/>
  <c r="C11" i="11"/>
  <c r="B11" i="11"/>
  <c r="E10" i="11"/>
  <c r="E18" i="11" s="1"/>
  <c r="D10" i="11"/>
  <c r="D18" i="11" s="1"/>
  <c r="C10" i="11"/>
  <c r="B10" i="11"/>
  <c r="D9" i="11"/>
  <c r="C9" i="11"/>
  <c r="B9" i="11"/>
  <c r="C8" i="11"/>
  <c r="B8" i="11"/>
  <c r="J7" i="11"/>
  <c r="I7" i="11"/>
  <c r="H7" i="11"/>
  <c r="G7" i="11"/>
  <c r="F7" i="11"/>
  <c r="E7" i="11"/>
  <c r="D7" i="11"/>
  <c r="C7" i="11"/>
  <c r="B4" i="11"/>
  <c r="C60" i="10"/>
  <c r="C58" i="10"/>
  <c r="E54" i="10"/>
  <c r="D54" i="10"/>
  <c r="C54" i="10"/>
  <c r="B54" i="10"/>
  <c r="E53" i="10"/>
  <c r="D53" i="10"/>
  <c r="C53" i="10"/>
  <c r="B53" i="10"/>
  <c r="E52" i="10"/>
  <c r="D52" i="10"/>
  <c r="C52" i="10"/>
  <c r="B52" i="10"/>
  <c r="E51" i="10"/>
  <c r="D51" i="10"/>
  <c r="C51" i="10"/>
  <c r="B51" i="10"/>
  <c r="E50" i="10"/>
  <c r="D50" i="10"/>
  <c r="C50" i="10"/>
  <c r="B50" i="10"/>
  <c r="B49" i="10"/>
  <c r="B48" i="10"/>
  <c r="B47" i="10"/>
  <c r="J43" i="10"/>
  <c r="I43" i="10"/>
  <c r="H43" i="10"/>
  <c r="G43" i="10"/>
  <c r="F43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B35" i="10"/>
  <c r="B34" i="10"/>
  <c r="B33" i="10"/>
  <c r="J29" i="10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J24" i="10"/>
  <c r="I24" i="10"/>
  <c r="H24" i="10"/>
  <c r="G24" i="10"/>
  <c r="F24" i="10"/>
  <c r="B24" i="10"/>
  <c r="J23" i="10"/>
  <c r="I23" i="10"/>
  <c r="H23" i="10"/>
  <c r="G23" i="10"/>
  <c r="F23" i="10"/>
  <c r="B23" i="10"/>
  <c r="J22" i="10"/>
  <c r="I22" i="10"/>
  <c r="H22" i="10"/>
  <c r="G22" i="10"/>
  <c r="F22" i="10"/>
  <c r="B22" i="10"/>
  <c r="J21" i="10"/>
  <c r="I21" i="10"/>
  <c r="H21" i="10"/>
  <c r="G21" i="10"/>
  <c r="F21" i="10"/>
  <c r="E21" i="10"/>
  <c r="D21" i="10"/>
  <c r="C21" i="10"/>
  <c r="J18" i="10"/>
  <c r="I18" i="10"/>
  <c r="H18" i="10"/>
  <c r="G18" i="10"/>
  <c r="F18" i="10"/>
  <c r="J15" i="10"/>
  <c r="I15" i="10"/>
  <c r="H15" i="10"/>
  <c r="G15" i="10"/>
  <c r="F15" i="10"/>
  <c r="E15" i="10"/>
  <c r="D15" i="10"/>
  <c r="C15" i="10"/>
  <c r="B15" i="10"/>
  <c r="I14" i="10"/>
  <c r="H14" i="10"/>
  <c r="G14" i="10"/>
  <c r="F14" i="10"/>
  <c r="E14" i="10"/>
  <c r="D14" i="10"/>
  <c r="C14" i="10"/>
  <c r="B14" i="10"/>
  <c r="H13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F11" i="10"/>
  <c r="E11" i="10"/>
  <c r="D11" i="10"/>
  <c r="C11" i="10"/>
  <c r="B11" i="10"/>
  <c r="E10" i="10"/>
  <c r="E18" i="10" s="1"/>
  <c r="D10" i="10"/>
  <c r="C10" i="10"/>
  <c r="B10" i="10"/>
  <c r="D9" i="10"/>
  <c r="C9" i="10"/>
  <c r="B9" i="10"/>
  <c r="C8" i="10"/>
  <c r="C18" i="10" s="1"/>
  <c r="B8" i="10"/>
  <c r="J7" i="10"/>
  <c r="I7" i="10"/>
  <c r="H7" i="10"/>
  <c r="G7" i="10"/>
  <c r="F7" i="10"/>
  <c r="E7" i="10"/>
  <c r="D7" i="10"/>
  <c r="C7" i="10"/>
  <c r="B4" i="10"/>
  <c r="C60" i="9"/>
  <c r="C58" i="9"/>
  <c r="E54" i="9"/>
  <c r="D54" i="9"/>
  <c r="C54" i="9"/>
  <c r="B54" i="9"/>
  <c r="E53" i="9"/>
  <c r="D53" i="9"/>
  <c r="C53" i="9"/>
  <c r="B53" i="9"/>
  <c r="E52" i="9"/>
  <c r="D52" i="9"/>
  <c r="C52" i="9"/>
  <c r="B52" i="9"/>
  <c r="E51" i="9"/>
  <c r="D51" i="9"/>
  <c r="C51" i="9"/>
  <c r="B51" i="9"/>
  <c r="E50" i="9"/>
  <c r="D50" i="9"/>
  <c r="C50" i="9"/>
  <c r="B50" i="9"/>
  <c r="B49" i="9"/>
  <c r="B48" i="9"/>
  <c r="B47" i="9"/>
  <c r="J43" i="9"/>
  <c r="I43" i="9"/>
  <c r="H43" i="9"/>
  <c r="G43" i="9"/>
  <c r="F43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B35" i="9"/>
  <c r="B34" i="9"/>
  <c r="B33" i="9"/>
  <c r="J29" i="9"/>
  <c r="I29" i="9"/>
  <c r="H29" i="9"/>
  <c r="G29" i="9"/>
  <c r="F29" i="9"/>
  <c r="E29" i="9"/>
  <c r="D29" i="9"/>
  <c r="C29" i="9"/>
  <c r="B29" i="9"/>
  <c r="J28" i="9"/>
  <c r="I28" i="9"/>
  <c r="H28" i="9"/>
  <c r="G28" i="9"/>
  <c r="F28" i="9"/>
  <c r="E28" i="9"/>
  <c r="D28" i="9"/>
  <c r="C28" i="9"/>
  <c r="B28" i="9"/>
  <c r="J27" i="9"/>
  <c r="I27" i="9"/>
  <c r="H27" i="9"/>
  <c r="G27" i="9"/>
  <c r="F27" i="9"/>
  <c r="E27" i="9"/>
  <c r="D27" i="9"/>
  <c r="C27" i="9"/>
  <c r="B27" i="9"/>
  <c r="J26" i="9"/>
  <c r="I26" i="9"/>
  <c r="H26" i="9"/>
  <c r="G26" i="9"/>
  <c r="F26" i="9"/>
  <c r="E26" i="9"/>
  <c r="D26" i="9"/>
  <c r="C26" i="9"/>
  <c r="B26" i="9"/>
  <c r="J25" i="9"/>
  <c r="I25" i="9"/>
  <c r="H25" i="9"/>
  <c r="G25" i="9"/>
  <c r="F25" i="9"/>
  <c r="E25" i="9"/>
  <c r="D25" i="9"/>
  <c r="C25" i="9"/>
  <c r="B25" i="9"/>
  <c r="J24" i="9"/>
  <c r="I24" i="9"/>
  <c r="H24" i="9"/>
  <c r="G24" i="9"/>
  <c r="F24" i="9"/>
  <c r="B24" i="9"/>
  <c r="J23" i="9"/>
  <c r="I23" i="9"/>
  <c r="H23" i="9"/>
  <c r="G23" i="9"/>
  <c r="F23" i="9"/>
  <c r="B23" i="9"/>
  <c r="J22" i="9"/>
  <c r="I22" i="9"/>
  <c r="H22" i="9"/>
  <c r="G22" i="9"/>
  <c r="F22" i="9"/>
  <c r="B22" i="9"/>
  <c r="J21" i="9"/>
  <c r="I21" i="9"/>
  <c r="H21" i="9"/>
  <c r="G21" i="9"/>
  <c r="F21" i="9"/>
  <c r="E21" i="9"/>
  <c r="D21" i="9"/>
  <c r="C21" i="9"/>
  <c r="J18" i="9"/>
  <c r="I18" i="9"/>
  <c r="H18" i="9"/>
  <c r="G18" i="9"/>
  <c r="F18" i="9"/>
  <c r="C18" i="9"/>
  <c r="C23" i="9" s="1"/>
  <c r="J15" i="9"/>
  <c r="I15" i="9"/>
  <c r="H15" i="9"/>
  <c r="G15" i="9"/>
  <c r="F15" i="9"/>
  <c r="E15" i="9"/>
  <c r="D15" i="9"/>
  <c r="C15" i="9"/>
  <c r="B15" i="9"/>
  <c r="I14" i="9"/>
  <c r="H14" i="9"/>
  <c r="G14" i="9"/>
  <c r="F14" i="9"/>
  <c r="E14" i="9"/>
  <c r="D14" i="9"/>
  <c r="C14" i="9"/>
  <c r="B14" i="9"/>
  <c r="H13" i="9"/>
  <c r="G13" i="9"/>
  <c r="F13" i="9"/>
  <c r="E13" i="9"/>
  <c r="D13" i="9"/>
  <c r="C13" i="9"/>
  <c r="B13" i="9"/>
  <c r="G12" i="9"/>
  <c r="F12" i="9"/>
  <c r="E12" i="9"/>
  <c r="D12" i="9"/>
  <c r="C12" i="9"/>
  <c r="B12" i="9"/>
  <c r="F11" i="9"/>
  <c r="E11" i="9"/>
  <c r="D11" i="9"/>
  <c r="C11" i="9"/>
  <c r="B11" i="9"/>
  <c r="E10" i="9"/>
  <c r="E18" i="9" s="1"/>
  <c r="D10" i="9"/>
  <c r="C10" i="9"/>
  <c r="B10" i="9"/>
  <c r="D9" i="9"/>
  <c r="D18" i="9" s="1"/>
  <c r="C9" i="9"/>
  <c r="B9" i="9"/>
  <c r="C8" i="9"/>
  <c r="B8" i="9"/>
  <c r="J7" i="9"/>
  <c r="I7" i="9"/>
  <c r="H7" i="9"/>
  <c r="G7" i="9"/>
  <c r="F7" i="9"/>
  <c r="E7" i="9"/>
  <c r="D7" i="9"/>
  <c r="C7" i="9"/>
  <c r="B4" i="9"/>
  <c r="C60" i="8"/>
  <c r="C58" i="8"/>
  <c r="E54" i="8"/>
  <c r="D54" i="8"/>
  <c r="C54" i="8"/>
  <c r="B54" i="8"/>
  <c r="E53" i="8"/>
  <c r="D53" i="8"/>
  <c r="C53" i="8"/>
  <c r="B53" i="8"/>
  <c r="E52" i="8"/>
  <c r="D52" i="8"/>
  <c r="C52" i="8"/>
  <c r="B52" i="8"/>
  <c r="E51" i="8"/>
  <c r="D51" i="8"/>
  <c r="C51" i="8"/>
  <c r="B51" i="8"/>
  <c r="E50" i="8"/>
  <c r="D50" i="8"/>
  <c r="C50" i="8"/>
  <c r="B50" i="8"/>
  <c r="B49" i="8"/>
  <c r="B48" i="8"/>
  <c r="B47" i="8"/>
  <c r="J43" i="8"/>
  <c r="I43" i="8"/>
  <c r="H43" i="8"/>
  <c r="G43" i="8"/>
  <c r="F43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B35" i="8"/>
  <c r="B34" i="8"/>
  <c r="B33" i="8"/>
  <c r="J29" i="8"/>
  <c r="I29" i="8"/>
  <c r="H29" i="8"/>
  <c r="G29" i="8"/>
  <c r="F29" i="8"/>
  <c r="E29" i="8"/>
  <c r="D29" i="8"/>
  <c r="C29" i="8"/>
  <c r="B29" i="8"/>
  <c r="J28" i="8"/>
  <c r="I28" i="8"/>
  <c r="H28" i="8"/>
  <c r="G28" i="8"/>
  <c r="F28" i="8"/>
  <c r="E28" i="8"/>
  <c r="D28" i="8"/>
  <c r="C28" i="8"/>
  <c r="B28" i="8"/>
  <c r="J27" i="8"/>
  <c r="I27" i="8"/>
  <c r="H27" i="8"/>
  <c r="G27" i="8"/>
  <c r="F27" i="8"/>
  <c r="E27" i="8"/>
  <c r="D27" i="8"/>
  <c r="C27" i="8"/>
  <c r="B27" i="8"/>
  <c r="J26" i="8"/>
  <c r="I26" i="8"/>
  <c r="H26" i="8"/>
  <c r="G26" i="8"/>
  <c r="F26" i="8"/>
  <c r="E26" i="8"/>
  <c r="D26" i="8"/>
  <c r="C26" i="8"/>
  <c r="B26" i="8"/>
  <c r="J25" i="8"/>
  <c r="I25" i="8"/>
  <c r="H25" i="8"/>
  <c r="G25" i="8"/>
  <c r="F25" i="8"/>
  <c r="E25" i="8"/>
  <c r="D25" i="8"/>
  <c r="C25" i="8"/>
  <c r="B25" i="8"/>
  <c r="J24" i="8"/>
  <c r="I24" i="8"/>
  <c r="H24" i="8"/>
  <c r="G24" i="8"/>
  <c r="F24" i="8"/>
  <c r="B24" i="8"/>
  <c r="J23" i="8"/>
  <c r="I23" i="8"/>
  <c r="H23" i="8"/>
  <c r="G23" i="8"/>
  <c r="F23" i="8"/>
  <c r="B23" i="8"/>
  <c r="J22" i="8"/>
  <c r="I22" i="8"/>
  <c r="H22" i="8"/>
  <c r="G22" i="8"/>
  <c r="F22" i="8"/>
  <c r="B22" i="8"/>
  <c r="J21" i="8"/>
  <c r="I21" i="8"/>
  <c r="H21" i="8"/>
  <c r="G21" i="8"/>
  <c r="F21" i="8"/>
  <c r="E21" i="8"/>
  <c r="D21" i="8"/>
  <c r="C21" i="8"/>
  <c r="J18" i="8"/>
  <c r="I18" i="8"/>
  <c r="H18" i="8"/>
  <c r="G18" i="8"/>
  <c r="F18" i="8"/>
  <c r="C18" i="8"/>
  <c r="C23" i="8" s="1"/>
  <c r="J15" i="8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H13" i="8"/>
  <c r="G13" i="8"/>
  <c r="F13" i="8"/>
  <c r="E13" i="8"/>
  <c r="D13" i="8"/>
  <c r="C13" i="8"/>
  <c r="B13" i="8"/>
  <c r="G12" i="8"/>
  <c r="F12" i="8"/>
  <c r="E12" i="8"/>
  <c r="D12" i="8"/>
  <c r="C12" i="8"/>
  <c r="B12" i="8"/>
  <c r="F11" i="8"/>
  <c r="E11" i="8"/>
  <c r="D11" i="8"/>
  <c r="C11" i="8"/>
  <c r="B11" i="8"/>
  <c r="E10" i="8"/>
  <c r="E18" i="8" s="1"/>
  <c r="D10" i="8"/>
  <c r="C10" i="8"/>
  <c r="B10" i="8"/>
  <c r="D9" i="8"/>
  <c r="C9" i="8"/>
  <c r="B9" i="8"/>
  <c r="C8" i="8"/>
  <c r="B8" i="8"/>
  <c r="J7" i="8"/>
  <c r="I7" i="8"/>
  <c r="H7" i="8"/>
  <c r="G7" i="8"/>
  <c r="F7" i="8"/>
  <c r="E7" i="8"/>
  <c r="D7" i="8"/>
  <c r="C7" i="8"/>
  <c r="B4" i="8"/>
  <c r="C60" i="7"/>
  <c r="C58" i="7"/>
  <c r="E54" i="7"/>
  <c r="D54" i="7"/>
  <c r="C54" i="7"/>
  <c r="B54" i="7"/>
  <c r="E53" i="7"/>
  <c r="D53" i="7"/>
  <c r="C53" i="7"/>
  <c r="B53" i="7"/>
  <c r="E52" i="7"/>
  <c r="D52" i="7"/>
  <c r="C52" i="7"/>
  <c r="B52" i="7"/>
  <c r="E51" i="7"/>
  <c r="D51" i="7"/>
  <c r="C51" i="7"/>
  <c r="B51" i="7"/>
  <c r="E50" i="7"/>
  <c r="D50" i="7"/>
  <c r="C50" i="7"/>
  <c r="B50" i="7"/>
  <c r="B49" i="7"/>
  <c r="B48" i="7"/>
  <c r="B47" i="7"/>
  <c r="J43" i="7"/>
  <c r="I43" i="7"/>
  <c r="H43" i="7"/>
  <c r="G43" i="7"/>
  <c r="F43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B35" i="7"/>
  <c r="B34" i="7"/>
  <c r="B33" i="7"/>
  <c r="J29" i="7"/>
  <c r="I29" i="7"/>
  <c r="H29" i="7"/>
  <c r="G29" i="7"/>
  <c r="F29" i="7"/>
  <c r="E29" i="7"/>
  <c r="D29" i="7"/>
  <c r="C29" i="7"/>
  <c r="B29" i="7"/>
  <c r="J28" i="7"/>
  <c r="I28" i="7"/>
  <c r="H28" i="7"/>
  <c r="G28" i="7"/>
  <c r="F28" i="7"/>
  <c r="E28" i="7"/>
  <c r="D28" i="7"/>
  <c r="C28" i="7"/>
  <c r="B28" i="7"/>
  <c r="J27" i="7"/>
  <c r="I27" i="7"/>
  <c r="H27" i="7"/>
  <c r="G27" i="7"/>
  <c r="F27" i="7"/>
  <c r="E27" i="7"/>
  <c r="D27" i="7"/>
  <c r="C27" i="7"/>
  <c r="B27" i="7"/>
  <c r="J26" i="7"/>
  <c r="I26" i="7"/>
  <c r="H26" i="7"/>
  <c r="G26" i="7"/>
  <c r="F26" i="7"/>
  <c r="E26" i="7"/>
  <c r="D26" i="7"/>
  <c r="C26" i="7"/>
  <c r="B26" i="7"/>
  <c r="J25" i="7"/>
  <c r="I25" i="7"/>
  <c r="H25" i="7"/>
  <c r="G25" i="7"/>
  <c r="F25" i="7"/>
  <c r="E25" i="7"/>
  <c r="D25" i="7"/>
  <c r="C25" i="7"/>
  <c r="B25" i="7"/>
  <c r="J24" i="7"/>
  <c r="I24" i="7"/>
  <c r="H24" i="7"/>
  <c r="G24" i="7"/>
  <c r="F24" i="7"/>
  <c r="B24" i="7"/>
  <c r="J23" i="7"/>
  <c r="I23" i="7"/>
  <c r="H23" i="7"/>
  <c r="G23" i="7"/>
  <c r="F23" i="7"/>
  <c r="B23" i="7"/>
  <c r="J22" i="7"/>
  <c r="I22" i="7"/>
  <c r="H22" i="7"/>
  <c r="G22" i="7"/>
  <c r="F22" i="7"/>
  <c r="B22" i="7"/>
  <c r="J21" i="7"/>
  <c r="I21" i="7"/>
  <c r="H21" i="7"/>
  <c r="G21" i="7"/>
  <c r="F21" i="7"/>
  <c r="E21" i="7"/>
  <c r="D21" i="7"/>
  <c r="C21" i="7"/>
  <c r="J18" i="7"/>
  <c r="I18" i="7"/>
  <c r="H18" i="7"/>
  <c r="G18" i="7"/>
  <c r="F18" i="7"/>
  <c r="C18" i="7"/>
  <c r="C23" i="7" s="1"/>
  <c r="J15" i="7"/>
  <c r="I15" i="7"/>
  <c r="H15" i="7"/>
  <c r="G15" i="7"/>
  <c r="F15" i="7"/>
  <c r="E15" i="7"/>
  <c r="D15" i="7"/>
  <c r="C15" i="7"/>
  <c r="B15" i="7"/>
  <c r="I14" i="7"/>
  <c r="H14" i="7"/>
  <c r="G14" i="7"/>
  <c r="F14" i="7"/>
  <c r="E14" i="7"/>
  <c r="D14" i="7"/>
  <c r="C14" i="7"/>
  <c r="B14" i="7"/>
  <c r="H13" i="7"/>
  <c r="G13" i="7"/>
  <c r="F13" i="7"/>
  <c r="E13" i="7"/>
  <c r="D13" i="7"/>
  <c r="C13" i="7"/>
  <c r="B13" i="7"/>
  <c r="G12" i="7"/>
  <c r="F12" i="7"/>
  <c r="E12" i="7"/>
  <c r="D12" i="7"/>
  <c r="C12" i="7"/>
  <c r="B12" i="7"/>
  <c r="F11" i="7"/>
  <c r="E11" i="7"/>
  <c r="D11" i="7"/>
  <c r="C11" i="7"/>
  <c r="B11" i="7"/>
  <c r="E10" i="7"/>
  <c r="E18" i="7" s="1"/>
  <c r="D10" i="7"/>
  <c r="C10" i="7"/>
  <c r="B10" i="7"/>
  <c r="D9" i="7"/>
  <c r="D18" i="7" s="1"/>
  <c r="C9" i="7"/>
  <c r="B9" i="7"/>
  <c r="C8" i="7"/>
  <c r="B8" i="7"/>
  <c r="J7" i="7"/>
  <c r="I7" i="7"/>
  <c r="H7" i="7"/>
  <c r="G7" i="7"/>
  <c r="F7" i="7"/>
  <c r="E7" i="7"/>
  <c r="D7" i="7"/>
  <c r="C7" i="7"/>
  <c r="B4" i="7"/>
  <c r="C60" i="6"/>
  <c r="C58" i="6"/>
  <c r="E54" i="6"/>
  <c r="D54" i="6"/>
  <c r="C54" i="6"/>
  <c r="B54" i="6"/>
  <c r="E53" i="6"/>
  <c r="D53" i="6"/>
  <c r="C53" i="6"/>
  <c r="B53" i="6"/>
  <c r="E52" i="6"/>
  <c r="D52" i="6"/>
  <c r="C52" i="6"/>
  <c r="B52" i="6"/>
  <c r="E51" i="6"/>
  <c r="D51" i="6"/>
  <c r="C51" i="6"/>
  <c r="B51" i="6"/>
  <c r="E50" i="6"/>
  <c r="D50" i="6"/>
  <c r="C50" i="6"/>
  <c r="B50" i="6"/>
  <c r="B49" i="6"/>
  <c r="B48" i="6"/>
  <c r="B47" i="6"/>
  <c r="J43" i="6"/>
  <c r="I43" i="6"/>
  <c r="H43" i="6"/>
  <c r="G43" i="6"/>
  <c r="F43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B35" i="6"/>
  <c r="B34" i="6"/>
  <c r="B33" i="6"/>
  <c r="J29" i="6"/>
  <c r="I29" i="6"/>
  <c r="H29" i="6"/>
  <c r="G29" i="6"/>
  <c r="F29" i="6"/>
  <c r="E29" i="6"/>
  <c r="D29" i="6"/>
  <c r="C29" i="6"/>
  <c r="B29" i="6"/>
  <c r="J28" i="6"/>
  <c r="I28" i="6"/>
  <c r="H28" i="6"/>
  <c r="G28" i="6"/>
  <c r="F28" i="6"/>
  <c r="E28" i="6"/>
  <c r="D28" i="6"/>
  <c r="C28" i="6"/>
  <c r="B28" i="6"/>
  <c r="J27" i="6"/>
  <c r="I27" i="6"/>
  <c r="H27" i="6"/>
  <c r="G27" i="6"/>
  <c r="F27" i="6"/>
  <c r="E27" i="6"/>
  <c r="D27" i="6"/>
  <c r="C27" i="6"/>
  <c r="B27" i="6"/>
  <c r="J26" i="6"/>
  <c r="I26" i="6"/>
  <c r="H26" i="6"/>
  <c r="G26" i="6"/>
  <c r="F26" i="6"/>
  <c r="E26" i="6"/>
  <c r="D26" i="6"/>
  <c r="C26" i="6"/>
  <c r="B26" i="6"/>
  <c r="J25" i="6"/>
  <c r="I25" i="6"/>
  <c r="H25" i="6"/>
  <c r="G25" i="6"/>
  <c r="F25" i="6"/>
  <c r="E25" i="6"/>
  <c r="D25" i="6"/>
  <c r="C25" i="6"/>
  <c r="B25" i="6"/>
  <c r="J24" i="6"/>
  <c r="I24" i="6"/>
  <c r="H24" i="6"/>
  <c r="G24" i="6"/>
  <c r="F24" i="6"/>
  <c r="B24" i="6"/>
  <c r="J23" i="6"/>
  <c r="I23" i="6"/>
  <c r="H23" i="6"/>
  <c r="G23" i="6"/>
  <c r="F23" i="6"/>
  <c r="B23" i="6"/>
  <c r="J22" i="6"/>
  <c r="I22" i="6"/>
  <c r="H22" i="6"/>
  <c r="G22" i="6"/>
  <c r="F22" i="6"/>
  <c r="B22" i="6"/>
  <c r="J21" i="6"/>
  <c r="I21" i="6"/>
  <c r="H21" i="6"/>
  <c r="G21" i="6"/>
  <c r="F21" i="6"/>
  <c r="E21" i="6"/>
  <c r="D21" i="6"/>
  <c r="C21" i="6"/>
  <c r="J18" i="6"/>
  <c r="I18" i="6"/>
  <c r="H18" i="6"/>
  <c r="G18" i="6"/>
  <c r="F18" i="6"/>
  <c r="C18" i="6"/>
  <c r="C24" i="6" s="1"/>
  <c r="J15" i="6"/>
  <c r="I15" i="6"/>
  <c r="H15" i="6"/>
  <c r="G15" i="6"/>
  <c r="F15" i="6"/>
  <c r="E15" i="6"/>
  <c r="D15" i="6"/>
  <c r="C15" i="6"/>
  <c r="B15" i="6"/>
  <c r="I14" i="6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G12" i="6"/>
  <c r="F12" i="6"/>
  <c r="E12" i="6"/>
  <c r="D12" i="6"/>
  <c r="C12" i="6"/>
  <c r="B12" i="6"/>
  <c r="F11" i="6"/>
  <c r="E11" i="6"/>
  <c r="D11" i="6"/>
  <c r="C11" i="6"/>
  <c r="B11" i="6"/>
  <c r="E10" i="6"/>
  <c r="E18" i="6" s="1"/>
  <c r="D10" i="6"/>
  <c r="C10" i="6"/>
  <c r="B10" i="6"/>
  <c r="D9" i="6"/>
  <c r="C9" i="6"/>
  <c r="B9" i="6"/>
  <c r="C8" i="6"/>
  <c r="B8" i="6"/>
  <c r="J7" i="6"/>
  <c r="I7" i="6"/>
  <c r="H7" i="6"/>
  <c r="G7" i="6"/>
  <c r="F7" i="6"/>
  <c r="E7" i="6"/>
  <c r="D7" i="6"/>
  <c r="C7" i="6"/>
  <c r="B4" i="6"/>
  <c r="C60" i="5"/>
  <c r="C58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B49" i="5"/>
  <c r="B48" i="5"/>
  <c r="B47" i="5"/>
  <c r="J43" i="5"/>
  <c r="I43" i="5"/>
  <c r="H43" i="5"/>
  <c r="G43" i="5"/>
  <c r="F43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B35" i="5"/>
  <c r="B34" i="5"/>
  <c r="B33" i="5"/>
  <c r="J29" i="5"/>
  <c r="I29" i="5"/>
  <c r="H29" i="5"/>
  <c r="G29" i="5"/>
  <c r="F29" i="5"/>
  <c r="E29" i="5"/>
  <c r="D29" i="5"/>
  <c r="C29" i="5"/>
  <c r="B29" i="5"/>
  <c r="J28" i="5"/>
  <c r="I28" i="5"/>
  <c r="H28" i="5"/>
  <c r="G28" i="5"/>
  <c r="F28" i="5"/>
  <c r="E28" i="5"/>
  <c r="D28" i="5"/>
  <c r="C28" i="5"/>
  <c r="B28" i="5"/>
  <c r="J27" i="5"/>
  <c r="I27" i="5"/>
  <c r="H27" i="5"/>
  <c r="G27" i="5"/>
  <c r="F27" i="5"/>
  <c r="E27" i="5"/>
  <c r="D27" i="5"/>
  <c r="C27" i="5"/>
  <c r="B27" i="5"/>
  <c r="J26" i="5"/>
  <c r="I26" i="5"/>
  <c r="H26" i="5"/>
  <c r="G26" i="5"/>
  <c r="F26" i="5"/>
  <c r="E26" i="5"/>
  <c r="D26" i="5"/>
  <c r="C26" i="5"/>
  <c r="B26" i="5"/>
  <c r="J25" i="5"/>
  <c r="I25" i="5"/>
  <c r="H25" i="5"/>
  <c r="G25" i="5"/>
  <c r="F25" i="5"/>
  <c r="E25" i="5"/>
  <c r="D25" i="5"/>
  <c r="C25" i="5"/>
  <c r="B25" i="5"/>
  <c r="J24" i="5"/>
  <c r="I24" i="5"/>
  <c r="H24" i="5"/>
  <c r="G24" i="5"/>
  <c r="F24" i="5"/>
  <c r="B24" i="5"/>
  <c r="J23" i="5"/>
  <c r="I23" i="5"/>
  <c r="H23" i="5"/>
  <c r="G23" i="5"/>
  <c r="F23" i="5"/>
  <c r="B23" i="5"/>
  <c r="J22" i="5"/>
  <c r="I22" i="5"/>
  <c r="H22" i="5"/>
  <c r="G22" i="5"/>
  <c r="F22" i="5"/>
  <c r="B22" i="5"/>
  <c r="J21" i="5"/>
  <c r="I21" i="5"/>
  <c r="H21" i="5"/>
  <c r="G21" i="5"/>
  <c r="F21" i="5"/>
  <c r="E21" i="5"/>
  <c r="D21" i="5"/>
  <c r="C21" i="5"/>
  <c r="J18" i="5"/>
  <c r="I18" i="5"/>
  <c r="H18" i="5"/>
  <c r="G18" i="5"/>
  <c r="F18" i="5"/>
  <c r="C18" i="5"/>
  <c r="C23" i="5" s="1"/>
  <c r="J15" i="5"/>
  <c r="I15" i="5"/>
  <c r="H15" i="5"/>
  <c r="G15" i="5"/>
  <c r="F15" i="5"/>
  <c r="E15" i="5"/>
  <c r="D15" i="5"/>
  <c r="C15" i="5"/>
  <c r="B15" i="5"/>
  <c r="I14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G12" i="5"/>
  <c r="F12" i="5"/>
  <c r="E12" i="5"/>
  <c r="D12" i="5"/>
  <c r="C12" i="5"/>
  <c r="B12" i="5"/>
  <c r="F11" i="5"/>
  <c r="E11" i="5"/>
  <c r="D11" i="5"/>
  <c r="C11" i="5"/>
  <c r="B11" i="5"/>
  <c r="E10" i="5"/>
  <c r="E18" i="5" s="1"/>
  <c r="D10" i="5"/>
  <c r="D18" i="5" s="1"/>
  <c r="C10" i="5"/>
  <c r="B10" i="5"/>
  <c r="D9" i="5"/>
  <c r="C9" i="5"/>
  <c r="B9" i="5"/>
  <c r="C8" i="5"/>
  <c r="B8" i="5"/>
  <c r="J7" i="5"/>
  <c r="I7" i="5"/>
  <c r="H7" i="5"/>
  <c r="G7" i="5"/>
  <c r="F7" i="5"/>
  <c r="E7" i="5"/>
  <c r="D7" i="5"/>
  <c r="C7" i="5"/>
  <c r="B4" i="5"/>
  <c r="C60" i="4"/>
  <c r="C58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B49" i="4"/>
  <c r="B48" i="4"/>
  <c r="B47" i="4"/>
  <c r="J43" i="4"/>
  <c r="I43" i="4"/>
  <c r="H43" i="4"/>
  <c r="G43" i="4"/>
  <c r="F43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B35" i="4"/>
  <c r="B34" i="4"/>
  <c r="B33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B24" i="4"/>
  <c r="J23" i="4"/>
  <c r="I23" i="4"/>
  <c r="H23" i="4"/>
  <c r="G23" i="4"/>
  <c r="F23" i="4"/>
  <c r="B23" i="4"/>
  <c r="J22" i="4"/>
  <c r="I22" i="4"/>
  <c r="H22" i="4"/>
  <c r="G22" i="4"/>
  <c r="F22" i="4"/>
  <c r="B22" i="4"/>
  <c r="J21" i="4"/>
  <c r="I21" i="4"/>
  <c r="H21" i="4"/>
  <c r="G21" i="4"/>
  <c r="F21" i="4"/>
  <c r="E21" i="4"/>
  <c r="D21" i="4"/>
  <c r="C21" i="4"/>
  <c r="J18" i="4"/>
  <c r="I18" i="4"/>
  <c r="H18" i="4"/>
  <c r="G18" i="4"/>
  <c r="F18" i="4"/>
  <c r="J15" i="4"/>
  <c r="I15" i="4"/>
  <c r="H15" i="4"/>
  <c r="G15" i="4"/>
  <c r="F15" i="4"/>
  <c r="E15" i="4"/>
  <c r="D15" i="4"/>
  <c r="C15" i="4"/>
  <c r="B15" i="4"/>
  <c r="I14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G12" i="4"/>
  <c r="F12" i="4"/>
  <c r="E12" i="4"/>
  <c r="D12" i="4"/>
  <c r="C12" i="4"/>
  <c r="B12" i="4"/>
  <c r="F11" i="4"/>
  <c r="E11" i="4"/>
  <c r="D11" i="4"/>
  <c r="C11" i="4"/>
  <c r="B11" i="4"/>
  <c r="E10" i="4"/>
  <c r="E18" i="4" s="1"/>
  <c r="D10" i="4"/>
  <c r="C10" i="4"/>
  <c r="B10" i="4"/>
  <c r="D9" i="4"/>
  <c r="C9" i="4"/>
  <c r="B9" i="4"/>
  <c r="C8" i="4"/>
  <c r="B8" i="4"/>
  <c r="J7" i="4"/>
  <c r="I7" i="4"/>
  <c r="H7" i="4"/>
  <c r="G7" i="4"/>
  <c r="F7" i="4"/>
  <c r="E7" i="4"/>
  <c r="D7" i="4"/>
  <c r="C7" i="4"/>
  <c r="B4" i="4"/>
  <c r="C59" i="3"/>
  <c r="C57" i="3"/>
  <c r="B53" i="3"/>
  <c r="B52" i="3"/>
  <c r="B51" i="3"/>
  <c r="B50" i="3"/>
  <c r="B49" i="3"/>
  <c r="B48" i="3"/>
  <c r="B47" i="3"/>
  <c r="B46" i="3"/>
  <c r="B39" i="3"/>
  <c r="B38" i="3"/>
  <c r="B37" i="3"/>
  <c r="B36" i="3"/>
  <c r="B35" i="3"/>
  <c r="B34" i="3"/>
  <c r="B33" i="3"/>
  <c r="B32" i="3"/>
  <c r="B28" i="3"/>
  <c r="B27" i="3"/>
  <c r="B26" i="3"/>
  <c r="B25" i="3"/>
  <c r="B24" i="3"/>
  <c r="B23" i="3"/>
  <c r="B22" i="3"/>
  <c r="B21" i="3"/>
  <c r="J20" i="3"/>
  <c r="I20" i="3"/>
  <c r="H20" i="3"/>
  <c r="G20" i="3"/>
  <c r="F20" i="3"/>
  <c r="E20" i="3"/>
  <c r="D20" i="3"/>
  <c r="C20" i="3"/>
  <c r="J14" i="3"/>
  <c r="J17" i="3" s="1"/>
  <c r="I14" i="3"/>
  <c r="H14" i="3"/>
  <c r="H17" i="3" s="1"/>
  <c r="G14" i="3"/>
  <c r="F14" i="3"/>
  <c r="E14" i="3"/>
  <c r="D14" i="3"/>
  <c r="C14" i="3"/>
  <c r="B14" i="3"/>
  <c r="I13" i="3"/>
  <c r="H13" i="3"/>
  <c r="H27" i="3" s="1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G11" i="3"/>
  <c r="G17" i="3" s="1"/>
  <c r="G24" i="3" s="1"/>
  <c r="F11" i="3"/>
  <c r="E11" i="3"/>
  <c r="D11" i="3"/>
  <c r="C11" i="3"/>
  <c r="B11" i="3"/>
  <c r="F10" i="3"/>
  <c r="E10" i="3"/>
  <c r="D10" i="3"/>
  <c r="C10" i="3"/>
  <c r="B10" i="3"/>
  <c r="E9" i="3"/>
  <c r="D9" i="3"/>
  <c r="C9" i="3"/>
  <c r="B9" i="3"/>
  <c r="D8" i="3"/>
  <c r="C8" i="3"/>
  <c r="B8" i="3"/>
  <c r="C7" i="3"/>
  <c r="B7" i="3"/>
  <c r="J6" i="3"/>
  <c r="I6" i="3"/>
  <c r="H6" i="3"/>
  <c r="G6" i="3"/>
  <c r="F6" i="3"/>
  <c r="E6" i="3"/>
  <c r="D6" i="3"/>
  <c r="C6" i="3"/>
  <c r="C18" i="4" l="1"/>
  <c r="C24" i="4" s="1"/>
  <c r="G27" i="3"/>
  <c r="C22" i="5"/>
  <c r="C22" i="9"/>
  <c r="G28" i="3"/>
  <c r="J24" i="3"/>
  <c r="J23" i="3"/>
  <c r="J22" i="3"/>
  <c r="J26" i="3"/>
  <c r="J25" i="3"/>
  <c r="I27" i="3"/>
  <c r="H24" i="3"/>
  <c r="H22" i="3"/>
  <c r="H23" i="3"/>
  <c r="H25" i="3"/>
  <c r="H28" i="3"/>
  <c r="I17" i="3"/>
  <c r="I28" i="3" s="1"/>
  <c r="H26" i="3"/>
  <c r="J28" i="3"/>
  <c r="G26" i="3"/>
  <c r="H21" i="3"/>
  <c r="J27" i="3"/>
  <c r="I21" i="3"/>
  <c r="I24" i="3"/>
  <c r="J21" i="3"/>
  <c r="F17" i="3"/>
  <c r="G25" i="3"/>
  <c r="C17" i="3"/>
  <c r="G21" i="3"/>
  <c r="G23" i="3"/>
  <c r="G22" i="3"/>
  <c r="E17" i="3"/>
  <c r="D17" i="3"/>
  <c r="C22" i="7"/>
  <c r="C22" i="11"/>
  <c r="C23" i="6"/>
  <c r="C22" i="4"/>
  <c r="C24" i="8"/>
  <c r="C22" i="8"/>
  <c r="C22" i="6"/>
  <c r="D22" i="9"/>
  <c r="D23" i="9"/>
  <c r="D24" i="9"/>
  <c r="E22" i="5"/>
  <c r="E23" i="5"/>
  <c r="E23" i="6"/>
  <c r="E22" i="6"/>
  <c r="D22" i="7"/>
  <c r="C33" i="7" s="1"/>
  <c r="F11" i="12" s="1"/>
  <c r="D23" i="7"/>
  <c r="D24" i="7"/>
  <c r="C24" i="10"/>
  <c r="E23" i="10"/>
  <c r="E22" i="10"/>
  <c r="C23" i="10"/>
  <c r="D22" i="11"/>
  <c r="D23" i="11"/>
  <c r="D24" i="11"/>
  <c r="D22" i="5"/>
  <c r="C33" i="5" s="1"/>
  <c r="D23" i="5"/>
  <c r="D24" i="5"/>
  <c r="E22" i="11"/>
  <c r="E23" i="11"/>
  <c r="E23" i="8"/>
  <c r="E22" i="8"/>
  <c r="E22" i="9"/>
  <c r="C33" i="9" s="1"/>
  <c r="H11" i="12" s="1"/>
  <c r="E23" i="9"/>
  <c r="E22" i="7"/>
  <c r="E23" i="7"/>
  <c r="E23" i="4"/>
  <c r="E22" i="4"/>
  <c r="C24" i="5"/>
  <c r="C35" i="5" s="1"/>
  <c r="C24" i="7"/>
  <c r="C24" i="9"/>
  <c r="C22" i="10"/>
  <c r="C24" i="11"/>
  <c r="E24" i="5"/>
  <c r="E24" i="7"/>
  <c r="E24" i="9"/>
  <c r="E24" i="11"/>
  <c r="D18" i="4"/>
  <c r="D22" i="4" s="1"/>
  <c r="E24" i="4"/>
  <c r="D18" i="6"/>
  <c r="D22" i="6" s="1"/>
  <c r="C33" i="6" s="1"/>
  <c r="E24" i="6"/>
  <c r="D18" i="8"/>
  <c r="D22" i="8" s="1"/>
  <c r="E24" i="8"/>
  <c r="D18" i="10"/>
  <c r="D23" i="10" s="1"/>
  <c r="E24" i="10"/>
  <c r="C23" i="4" l="1"/>
  <c r="C33" i="11"/>
  <c r="J11" i="12" s="1"/>
  <c r="C34" i="7"/>
  <c r="F12" i="12" s="1"/>
  <c r="I26" i="3"/>
  <c r="I23" i="3"/>
  <c r="I22" i="3"/>
  <c r="I25" i="3"/>
  <c r="F22" i="3"/>
  <c r="F26" i="3"/>
  <c r="F27" i="3"/>
  <c r="F28" i="3"/>
  <c r="D25" i="3"/>
  <c r="D26" i="3"/>
  <c r="D27" i="3"/>
  <c r="E25" i="3"/>
  <c r="E27" i="3"/>
  <c r="E26" i="3"/>
  <c r="C22" i="3"/>
  <c r="C26" i="3"/>
  <c r="C27" i="3"/>
  <c r="C28" i="3"/>
  <c r="E28" i="3"/>
  <c r="D28" i="3"/>
  <c r="F21" i="3"/>
  <c r="C32" i="3" s="1"/>
  <c r="D32" i="3" s="1"/>
  <c r="F25" i="3"/>
  <c r="F24" i="3"/>
  <c r="F23" i="3"/>
  <c r="C21" i="3"/>
  <c r="D23" i="3"/>
  <c r="D22" i="3"/>
  <c r="E23" i="3"/>
  <c r="E22" i="3"/>
  <c r="E21" i="3"/>
  <c r="C23" i="3"/>
  <c r="C24" i="3"/>
  <c r="C25" i="3"/>
  <c r="D23" i="4"/>
  <c r="C34" i="4" s="1"/>
  <c r="D34" i="4" s="1"/>
  <c r="C34" i="5"/>
  <c r="D12" i="12" s="1"/>
  <c r="C34" i="11"/>
  <c r="J12" i="12" s="1"/>
  <c r="D24" i="3"/>
  <c r="C33" i="8"/>
  <c r="G11" i="12" s="1"/>
  <c r="D21" i="3"/>
  <c r="E24" i="3"/>
  <c r="C33" i="4"/>
  <c r="D47" i="4" s="1"/>
  <c r="D23" i="8"/>
  <c r="C34" i="8" s="1"/>
  <c r="G12" i="12" s="1"/>
  <c r="D24" i="8"/>
  <c r="C35" i="8" s="1"/>
  <c r="G13" i="12" s="1"/>
  <c r="C34" i="9"/>
  <c r="D48" i="8"/>
  <c r="D47" i="6"/>
  <c r="C43" i="6"/>
  <c r="E11" i="12"/>
  <c r="E33" i="6"/>
  <c r="D33" i="6"/>
  <c r="D34" i="5"/>
  <c r="D48" i="5"/>
  <c r="D43" i="5"/>
  <c r="E33" i="9"/>
  <c r="D33" i="9"/>
  <c r="C43" i="9"/>
  <c r="D47" i="9"/>
  <c r="D34" i="11"/>
  <c r="D48" i="11"/>
  <c r="D43" i="11"/>
  <c r="E34" i="11"/>
  <c r="D33" i="8"/>
  <c r="C43" i="8"/>
  <c r="E33" i="11"/>
  <c r="D33" i="11"/>
  <c r="C43" i="11"/>
  <c r="D47" i="11"/>
  <c r="C34" i="10"/>
  <c r="I12" i="12" s="1"/>
  <c r="C35" i="11"/>
  <c r="D49" i="5"/>
  <c r="E43" i="5"/>
  <c r="E35" i="5"/>
  <c r="D35" i="5"/>
  <c r="D13" i="12"/>
  <c r="D24" i="6"/>
  <c r="C35" i="6" s="1"/>
  <c r="D23" i="6"/>
  <c r="C34" i="6" s="1"/>
  <c r="C41" i="6" s="1"/>
  <c r="D24" i="10"/>
  <c r="C35" i="10" s="1"/>
  <c r="I13" i="12" s="1"/>
  <c r="D22" i="10"/>
  <c r="D34" i="7"/>
  <c r="D48" i="7"/>
  <c r="D43" i="7"/>
  <c r="E34" i="7"/>
  <c r="C33" i="10"/>
  <c r="I11" i="12" s="1"/>
  <c r="C35" i="9"/>
  <c r="H13" i="12" s="1"/>
  <c r="E33" i="5"/>
  <c r="D33" i="5"/>
  <c r="D11" i="12"/>
  <c r="C43" i="5"/>
  <c r="D47" i="5"/>
  <c r="C41" i="5"/>
  <c r="C35" i="7"/>
  <c r="F13" i="12" s="1"/>
  <c r="D24" i="4"/>
  <c r="C35" i="4" s="1"/>
  <c r="E33" i="7"/>
  <c r="D33" i="7"/>
  <c r="C43" i="7"/>
  <c r="D47" i="7"/>
  <c r="E33" i="4" l="1"/>
  <c r="D33" i="4"/>
  <c r="D48" i="4"/>
  <c r="D43" i="9"/>
  <c r="H12" i="12"/>
  <c r="C41" i="11"/>
  <c r="J13" i="12"/>
  <c r="D48" i="9"/>
  <c r="D34" i="9"/>
  <c r="E34" i="5"/>
  <c r="C12" i="12"/>
  <c r="E34" i="4"/>
  <c r="D43" i="4"/>
  <c r="C39" i="3"/>
  <c r="C38" i="3"/>
  <c r="C37" i="3"/>
  <c r="C34" i="3"/>
  <c r="D48" i="3" s="1"/>
  <c r="C36" i="3"/>
  <c r="D36" i="3" s="1"/>
  <c r="C33" i="3"/>
  <c r="D7" i="12" s="1"/>
  <c r="C35" i="3"/>
  <c r="F7" i="12" s="1"/>
  <c r="C11" i="12"/>
  <c r="E33" i="8"/>
  <c r="E34" i="9"/>
  <c r="C43" i="4"/>
  <c r="C48" i="4" s="1"/>
  <c r="E48" i="4" s="1"/>
  <c r="D34" i="8"/>
  <c r="D47" i="8"/>
  <c r="E34" i="8"/>
  <c r="D43" i="8"/>
  <c r="C7" i="12"/>
  <c r="D46" i="3"/>
  <c r="E32" i="3"/>
  <c r="C42" i="3"/>
  <c r="E35" i="8"/>
  <c r="D49" i="8"/>
  <c r="C41" i="8"/>
  <c r="D35" i="8"/>
  <c r="E43" i="8"/>
  <c r="C48" i="8" s="1"/>
  <c r="E48" i="8" s="1"/>
  <c r="E43" i="10"/>
  <c r="E35" i="10"/>
  <c r="D35" i="10"/>
  <c r="D49" i="10"/>
  <c r="C43" i="10"/>
  <c r="C41" i="10"/>
  <c r="D47" i="10"/>
  <c r="E33" i="10"/>
  <c r="D33" i="10"/>
  <c r="C49" i="8"/>
  <c r="D49" i="7"/>
  <c r="E43" i="7"/>
  <c r="C47" i="7" s="1"/>
  <c r="E47" i="7" s="1"/>
  <c r="E35" i="7"/>
  <c r="D35" i="7"/>
  <c r="C47" i="5"/>
  <c r="E47" i="5" s="1"/>
  <c r="C49" i="5"/>
  <c r="E49" i="5" s="1"/>
  <c r="C48" i="5"/>
  <c r="E48" i="5" s="1"/>
  <c r="D43" i="6"/>
  <c r="D48" i="6"/>
  <c r="D34" i="6"/>
  <c r="E12" i="12"/>
  <c r="E34" i="6"/>
  <c r="D49" i="11"/>
  <c r="E43" i="11"/>
  <c r="C49" i="11" s="1"/>
  <c r="E35" i="11"/>
  <c r="D35" i="11"/>
  <c r="D35" i="6"/>
  <c r="E43" i="6"/>
  <c r="C47" i="6" s="1"/>
  <c r="E47" i="6" s="1"/>
  <c r="E35" i="6"/>
  <c r="E13" i="12"/>
  <c r="D49" i="6"/>
  <c r="D48" i="10"/>
  <c r="D43" i="10"/>
  <c r="E34" i="10"/>
  <c r="D34" i="10"/>
  <c r="D49" i="9"/>
  <c r="E43" i="9"/>
  <c r="C47" i="9" s="1"/>
  <c r="E47" i="9" s="1"/>
  <c r="E35" i="9"/>
  <c r="D35" i="9"/>
  <c r="C47" i="11"/>
  <c r="E47" i="11" s="1"/>
  <c r="C48" i="11"/>
  <c r="E48" i="11" s="1"/>
  <c r="E43" i="4"/>
  <c r="E35" i="4"/>
  <c r="D35" i="4"/>
  <c r="D49" i="4"/>
  <c r="C13" i="12"/>
  <c r="C41" i="7"/>
  <c r="C41" i="9"/>
  <c r="C41" i="4"/>
  <c r="C49" i="9"/>
  <c r="E49" i="9" s="1"/>
  <c r="C49" i="4" l="1"/>
  <c r="E49" i="4" s="1"/>
  <c r="C57" i="4" s="1"/>
  <c r="C59" i="4" s="1"/>
  <c r="C61" i="4" s="1"/>
  <c r="C47" i="8"/>
  <c r="E47" i="8" s="1"/>
  <c r="C57" i="8" s="1"/>
  <c r="C59" i="8" s="1"/>
  <c r="C61" i="8" s="1"/>
  <c r="C49" i="7"/>
  <c r="E49" i="7" s="1"/>
  <c r="C47" i="4"/>
  <c r="E47" i="4" s="1"/>
  <c r="E34" i="3"/>
  <c r="I42" i="3"/>
  <c r="D52" i="3"/>
  <c r="D38" i="3"/>
  <c r="E38" i="3"/>
  <c r="I7" i="12"/>
  <c r="E42" i="3"/>
  <c r="E7" i="12"/>
  <c r="H42" i="3"/>
  <c r="E37" i="3"/>
  <c r="D37" i="3"/>
  <c r="H7" i="12"/>
  <c r="D51" i="3"/>
  <c r="E39" i="3"/>
  <c r="D53" i="3"/>
  <c r="D39" i="3"/>
  <c r="J42" i="3"/>
  <c r="J7" i="12"/>
  <c r="D34" i="3"/>
  <c r="G42" i="3"/>
  <c r="D50" i="3"/>
  <c r="G7" i="12"/>
  <c r="E36" i="3"/>
  <c r="D49" i="3"/>
  <c r="D33" i="3"/>
  <c r="D47" i="3"/>
  <c r="E33" i="3"/>
  <c r="D42" i="3"/>
  <c r="E35" i="3"/>
  <c r="C40" i="3"/>
  <c r="F42" i="3"/>
  <c r="D35" i="3"/>
  <c r="C48" i="7"/>
  <c r="E48" i="7" s="1"/>
  <c r="E49" i="8"/>
  <c r="C48" i="9"/>
  <c r="E48" i="9" s="1"/>
  <c r="C57" i="9" s="1"/>
  <c r="C59" i="9" s="1"/>
  <c r="C61" i="9" s="1"/>
  <c r="C48" i="6"/>
  <c r="E48" i="6" s="1"/>
  <c r="C48" i="10"/>
  <c r="E48" i="10" s="1"/>
  <c r="C47" i="10"/>
  <c r="E47" i="10" s="1"/>
  <c r="C49" i="10"/>
  <c r="E49" i="10" s="1"/>
  <c r="C57" i="5"/>
  <c r="C59" i="5" s="1"/>
  <c r="C61" i="5" s="1"/>
  <c r="E49" i="11"/>
  <c r="C57" i="11" s="1"/>
  <c r="C59" i="11" s="1"/>
  <c r="C61" i="11" s="1"/>
  <c r="C49" i="6"/>
  <c r="E49" i="6" s="1"/>
  <c r="C57" i="6" s="1"/>
  <c r="C59" i="6" s="1"/>
  <c r="C61" i="6" s="1"/>
  <c r="C57" i="7"/>
  <c r="C59" i="7" s="1"/>
  <c r="C61" i="7" s="1"/>
  <c r="D31" i="12" l="1"/>
  <c r="C31" i="12"/>
  <c r="C53" i="3"/>
  <c r="E53" i="3" s="1"/>
  <c r="K12" i="12"/>
  <c r="D29" i="12"/>
  <c r="C29" i="12"/>
  <c r="C52" i="3"/>
  <c r="E52" i="3" s="1"/>
  <c r="K13" i="12"/>
  <c r="C51" i="3"/>
  <c r="E51" i="3" s="1"/>
  <c r="K11" i="12"/>
  <c r="C47" i="3"/>
  <c r="E47" i="3" s="1"/>
  <c r="C49" i="3"/>
  <c r="E49" i="3" s="1"/>
  <c r="C50" i="3"/>
  <c r="E50" i="3" s="1"/>
  <c r="C48" i="3"/>
  <c r="E48" i="3" s="1"/>
  <c r="C46" i="3"/>
  <c r="E46" i="3" s="1"/>
  <c r="C62" i="9"/>
  <c r="D62" i="9"/>
  <c r="D28" i="12"/>
  <c r="C28" i="12"/>
  <c r="C27" i="12"/>
  <c r="D27" i="12"/>
  <c r="B64" i="9"/>
  <c r="C57" i="10"/>
  <c r="C59" i="10" s="1"/>
  <c r="C61" i="10" s="1"/>
  <c r="B64" i="6"/>
  <c r="D26" i="12"/>
  <c r="C62" i="6"/>
  <c r="C26" i="12"/>
  <c r="D62" i="6"/>
  <c r="D24" i="12"/>
  <c r="C24" i="12"/>
  <c r="B64" i="4"/>
  <c r="D62" i="4"/>
  <c r="C62" i="4"/>
  <c r="D62" i="8"/>
  <c r="B64" i="8"/>
  <c r="C62" i="8"/>
  <c r="C62" i="7"/>
  <c r="B64" i="7"/>
  <c r="D62" i="7"/>
  <c r="C62" i="11"/>
  <c r="B64" i="11"/>
  <c r="D62" i="11"/>
  <c r="C62" i="5"/>
  <c r="B64" i="5"/>
  <c r="D25" i="12"/>
  <c r="C25" i="12"/>
  <c r="D62" i="5"/>
  <c r="K19" i="12" l="1"/>
  <c r="L12" i="12"/>
  <c r="L11" i="12"/>
  <c r="B64" i="10"/>
  <c r="D30" i="12"/>
  <c r="C30" i="12"/>
  <c r="L13" i="12"/>
  <c r="C56" i="3"/>
  <c r="C58" i="3" s="1"/>
  <c r="C60" i="3" s="1"/>
  <c r="C61" i="3" s="1"/>
  <c r="C62" i="10"/>
  <c r="D62" i="10"/>
  <c r="D61" i="3" l="1"/>
  <c r="C34" i="12"/>
  <c r="D23" i="12"/>
  <c r="C23" i="12"/>
  <c r="B63" i="3"/>
  <c r="C35" i="12" l="1"/>
  <c r="B37" i="12"/>
</calcChain>
</file>

<file path=xl/sharedStrings.xml><?xml version="1.0" encoding="utf-8"?>
<sst xmlns="http://schemas.openxmlformats.org/spreadsheetml/2006/main" count="555" uniqueCount="177">
  <si>
    <t>Calculadora AHP  ·  Proceso Analitico Jerarquico (Saaty)</t>
  </si>
  <si>
    <t>Compara criterios y alternativas de a dos, calcula los pesos y verifica la coherencia de tus juicios con la Razon de Consistencia (CR).</t>
  </si>
  <si>
    <t>COMO SE USA ESTE ARCHIVO</t>
  </si>
  <si>
    <t>1</t>
  </si>
  <si>
    <t>Hoja CONFIGURACION</t>
  </si>
  <si>
    <t>Escribe cuantos criterios y cuantas alternativas vas a usar (de 2 a 8) y ponles nombre. Todo lo demas se ajusta solo.</t>
  </si>
  <si>
    <t>2</t>
  </si>
  <si>
    <t>Hoja CRITERIOS</t>
  </si>
  <si>
    <t>Compara los criterios entre si. Solo llenas las celdas amarillas (la mitad de arriba): el resto se calcula solo porque la matriz es reciproca.</t>
  </si>
  <si>
    <t>3</t>
  </si>
  <si>
    <t>Hojas C1, C2, C3 ...</t>
  </si>
  <si>
    <t>Una hoja por criterio. En cada una comparas las ALTERNATIVAS entre si, pero mirando SOLO ese criterio. Si usas 3 criterios, solo llenas C1, C2 y C3.</t>
  </si>
  <si>
    <t>4</t>
  </si>
  <si>
    <t>Revisa el CR de cada hoja</t>
  </si>
  <si>
    <t>Cada hoja te dice su Razon de Consistencia en porcentaje. Si es 10% o menos, vas bien. Si pasa de 10%, tus comparaciones se contradicen y hay que corregirlas.</t>
  </si>
  <si>
    <t>5</t>
  </si>
  <si>
    <t>Hoja RESULTADO</t>
  </si>
  <si>
    <t>Te muestra el peso de cada criterio, la puntuacion final de cada alternativa, el ranking y si puedes tomar la decision o te toca reevaluar.</t>
  </si>
  <si>
    <t>LA ESCALA DE SAATY  ·  que numero escribir en cada celda</t>
  </si>
  <si>
    <t>Siempre te preguntas lo mismo: comparando el elemento de la FILA con el de la COLUMNA, ¿cual es mas importante y cuanto mas?</t>
  </si>
  <si>
    <t>Valor</t>
  </si>
  <si>
    <t>Significado</t>
  </si>
  <si>
    <t>Como saber si es este</t>
  </si>
  <si>
    <t>Ejemplo para que te quede claro</t>
  </si>
  <si>
    <t>Igual importancia</t>
  </si>
  <si>
    <t>Los dos aportan lo mismo a la decision. Te daria igual perder uno u otro.</t>
  </si>
  <si>
    <t>Para elegir un portatil: 'el peso y el color me dan exactamente igual'.</t>
  </si>
  <si>
    <t>Moderadamente mas importante</t>
  </si>
  <si>
    <t>Uno pesa un poco mas, pero si el otro gana no es un desastre. Dudas al responder.</t>
  </si>
  <si>
    <t>'El precio me importa algo mas que el diseno, pero no mucho mas'.</t>
  </si>
  <si>
    <t>Fuertemente mas importante</t>
  </si>
  <si>
    <t>Tienes clara la preferencia y la puedes justificar sin pensarlo.</t>
  </si>
  <si>
    <t>'La seguridad importa bastante mas que la personalizacion'.</t>
  </si>
  <si>
    <t>7</t>
  </si>
  <si>
    <t>Muy fuertemente mas importante</t>
  </si>
  <si>
    <t>La preferencia es evidente para cualquiera del equipo, no solo para ti.</t>
  </si>
  <si>
    <t>'Cumplir la ley importa muchisimo mas que ahorrar dos dias'.</t>
  </si>
  <si>
    <t>9</t>
  </si>
  <si>
    <t>Extremadamente mas importante</t>
  </si>
  <si>
    <t>El otro criterio casi no cuenta al lado de este. Es el maximo de la escala.</t>
  </si>
  <si>
    <t>'Que no se pierdan los datos del banco frente a que la pantalla sea bonita'.</t>
  </si>
  <si>
    <t>2, 4, 6, 8</t>
  </si>
  <si>
    <t>Valores intermedios</t>
  </si>
  <si>
    <t>Usalos solo cuando dudas entre dos escalones de los de arriba.</t>
  </si>
  <si>
    <t>'Es mas que moderado pero no llega a fuerte' -&gt; pon 4.</t>
  </si>
  <si>
    <t>¿Y SI EL DE LA COLUMNA ES EL MAS IMPORTANTE?  ·  los reciprocos</t>
  </si>
  <si>
    <t>Entonces escribes la fraccion invertida. En Excel escribela como formula: =1/3 , =1/5 , =1/7 ... La celda te la va a mostrar como 1/3, 1/5, 1/7. Y OJO: nunca escribas 1/3 sin el signo igual, porque Excel lo entiende como una fecha.</t>
  </si>
  <si>
    <t>Si pones 5 en (Seguridad , Costo)</t>
  </si>
  <si>
    <t>quiere decir: la seguridad es fuertemente mas importante que el costo.</t>
  </si>
  <si>
    <t>Si pones =1/5 en (Seguridad , Costo)</t>
  </si>
  <si>
    <t>quiere decir lo contrario: el costo es fuertemente mas importante.</t>
  </si>
  <si>
    <t>La diagonal siempre vale 1</t>
  </si>
  <si>
    <t>porque comparar algo consigo mismo da igualdad.</t>
  </si>
  <si>
    <t>La mitad de abajo se llena sola</t>
  </si>
  <si>
    <t>es el inverso de la de arriba. Por eso solo llenas las celdas amarillas.</t>
  </si>
  <si>
    <t>LA RAZON DE CONSISTENCIA (CR)  ·  como leer el porcentaje</t>
  </si>
  <si>
    <t>El AHP no solo calcula la respuesta: tambien revisa si tus juicios se contradicen entre si. El ejemplo clasico de contradiccion es decir que A es mejor que B, que B es mejor que C, y ademas que C es mejor que A. Eso es imposible, y el CR lo detecta.</t>
  </si>
  <si>
    <t>CR = 0%</t>
  </si>
  <si>
    <t>Coherencia perfecta. Tus comparaciones encajan a la perfeccion.</t>
  </si>
  <si>
    <t>CR hasta 10%</t>
  </si>
  <si>
    <t>ACEPTABLE. Puedes usar el resultado con tranquilidad.</t>
  </si>
  <si>
    <t>CR entre 10% y 20%</t>
  </si>
  <si>
    <t>DUDOSO. Revisa las comparaciones mas extremas antes de decidir.</t>
  </si>
  <si>
    <t>CR mayor a 20%</t>
  </si>
  <si>
    <t>RECHAZADO. Hay que reevaluar: tus juicios se contradicen demasiado.</t>
  </si>
  <si>
    <t>Si te sale mal: busca en la matriz el numero mas extremo (un 7 o un 9) y pregunta si de verdad es para tanto. Casi siempre el problema esta ahi. Baja ese juicio un escalon y vuelve a mirar el CR.</t>
  </si>
  <si>
    <t>INDICE ALEATORIO (RI)  ·  valores de Saaty, no los toques</t>
  </si>
  <si>
    <t>n (elementos)</t>
  </si>
  <si>
    <t>RI</t>
  </si>
  <si>
    <t>Formulas que usa el archivo</t>
  </si>
  <si>
    <t>Vector de prioridad w = promedio de cada fila de la matriz normalizada</t>
  </si>
  <si>
    <t>lambda max = promedio de (A·w) dividido w, elemento por elemento</t>
  </si>
  <si>
    <t>CI (indice de consistencia) = (lambda max - n) / (n - 1)</t>
  </si>
  <si>
    <t>CR (razon de consistencia) = CI / RI</t>
  </si>
  <si>
    <t>Se acepta cuando CR &lt;= 0,10 (es decir, 10%)</t>
  </si>
  <si>
    <t>Puntuacion final de cada alternativa = suma de (peso del criterio x prioridad en ese criterio)</t>
  </si>
  <si>
    <t>Paso 0  ·  Define tu problema</t>
  </si>
  <si>
    <t>Escribe aqui tu decision, tus criterios y tus alternativas. Las demas hojas se ajustan solas.</t>
  </si>
  <si>
    <t>Decision que voy a tomar:</t>
  </si>
  <si>
    <t>Elegir el motor de base de datos para la plataforma financiera</t>
  </si>
  <si>
    <t>Cuantos CRITERIOS voy a usar:</t>
  </si>
  <si>
    <t>de 2 a 8</t>
  </si>
  <si>
    <t>Cuantas ALTERNATIVAS voy a comparar:</t>
  </si>
  <si>
    <t>Recomendacion de Saaty: no pases de 7 u 8 elementos en una misma comparacion. Con mas, el cerebro humano pierde coherencia y el CR se dispara.</t>
  </si>
  <si>
    <t>N.º</t>
  </si>
  <si>
    <t>CRITERIOS  ·  que importa al decidir</t>
  </si>
  <si>
    <t>ALTERNATIVAS  ·  entre que elijo</t>
  </si>
  <si>
    <t>QUE HACER AHORA</t>
  </si>
  <si>
    <t>1. Ve a la hoja CRITERIOS y compara los criterios entre si.</t>
  </si>
  <si>
    <t>2. Luego llena una hoja C1, C2, C3... por cada criterio que hayas definido.</t>
  </si>
  <si>
    <t>3. Termina en la hoja RESULTADO.</t>
  </si>
  <si>
    <t>El archivo viene con un ejemplo cargado (el caso de la base de datos). Borra los nombres y los numeros y escribe los tuyos.</t>
  </si>
  <si>
    <t>Paso 1  ·  Comparacion de los CRITERIOS entre si</t>
  </si>
  <si>
    <t>Pregunta para cada celda amarilla: comparando el criterio de la FILA con el de la COLUMNA, ¿cual importa mas y cuanto mas? (1, 3, 5, 7, 9 o su inverso =1/3, =1/5 ...).</t>
  </si>
  <si>
    <t>PASO 1  ·  Matriz de comparacion por pares   (llena SOLO las celdas amarillas)</t>
  </si>
  <si>
    <t>ESCALA</t>
  </si>
  <si>
    <t>Cuando usarla</t>
  </si>
  <si>
    <t>FILA \ COLUMNA</t>
  </si>
  <si>
    <t>Los dos importan igual</t>
  </si>
  <si>
    <t>Uno importa algo mas</t>
  </si>
  <si>
    <t>Uno importa bastante mas</t>
  </si>
  <si>
    <t>Uno importa mucho mas</t>
  </si>
  <si>
    <t>Uno importa muchisimo mas</t>
  </si>
  <si>
    <t>1/3</t>
  </si>
  <si>
    <t>Al reves: escribe =1/3</t>
  </si>
  <si>
    <t>1/5</t>
  </si>
  <si>
    <t>Al reves, con mas fuerza: =1/5</t>
  </si>
  <si>
    <t>1/9</t>
  </si>
  <si>
    <t>Al reves, al maximo: =1/9</t>
  </si>
  <si>
    <t>Recuerda: escribe los inversos como formula (=1/3), nunca 1/3 solo, porque Excel lo lee como fecha.</t>
  </si>
  <si>
    <t>PASO 2  ·  Suma de cada columna</t>
  </si>
  <si>
    <t>Suma de la columna</t>
  </si>
  <si>
    <t>PASO 3  ·  Matriz normalizada   (cada celda dividida por la suma de SU columna)</t>
  </si>
  <si>
    <t>PASO 4  ·  Vector de prioridad w   (promedio de cada fila de la matriz normalizada)</t>
  </si>
  <si>
    <t>Elemento</t>
  </si>
  <si>
    <t>Peso w</t>
  </si>
  <si>
    <t>Peso %</t>
  </si>
  <si>
    <t>Que significa</t>
  </si>
  <si>
    <t>Suma (debe dar 1)</t>
  </si>
  <si>
    <t>w en horizontal (auxiliar)</t>
  </si>
  <si>
    <t>PASO 5  ·  Comprobacion de consistencia</t>
  </si>
  <si>
    <t>Suma ponderada (A x w)</t>
  </si>
  <si>
    <t>Razon = (A x w) / w</t>
  </si>
  <si>
    <t>PASO 6  ·  Indice y Razon de Consistencia</t>
  </si>
  <si>
    <t>lambda max  (promedio de la columna Razon)</t>
  </si>
  <si>
    <t>n  (numero de elementos comparados)</t>
  </si>
  <si>
    <t>CI = (lambda max - n) / (n - 1)</t>
  </si>
  <si>
    <t>RI  (indice aleatorio de Saaty, segun n)</t>
  </si>
  <si>
    <t>CR = CI / RI</t>
  </si>
  <si>
    <t>CR EN PORCENTAJE</t>
  </si>
  <si>
    <t>Comparacion de las ALTERNATIVAS  ·  criterio 1</t>
  </si>
  <si>
    <t>Compara las alternativas de a dos MIRANDO SOLO este criterio. Olvida los demas criterios por un momento.</t>
  </si>
  <si>
    <t>Comparacion de las ALTERNATIVAS  ·  criterio 2</t>
  </si>
  <si>
    <t>Comparacion de las ALTERNATIVAS  ·  criterio 3</t>
  </si>
  <si>
    <t>Comparacion de las ALTERNATIVAS  ·  criterio 4</t>
  </si>
  <si>
    <t>Comparacion de las ALTERNATIVAS  ·  criterio 5</t>
  </si>
  <si>
    <t>Comparacion de las ALTERNATIVAS  ·  criterio 6</t>
  </si>
  <si>
    <t>Comparacion de las ALTERNATIVAS  ·  criterio 7</t>
  </si>
  <si>
    <t>Comparacion de las ALTERNATIVAS  ·  criterio 8</t>
  </si>
  <si>
    <t>Resultado final  ·  ¿que alternativa gana?</t>
  </si>
  <si>
    <t>Puntuacion de cada alternativa = suma de (peso del criterio x prioridad de la alternativa en ese criterio).</t>
  </si>
  <si>
    <t>1 · PESO DE CADA CRITERIO   (viene de la hoja CRITERIOS)</t>
  </si>
  <si>
    <t>Criterio</t>
  </si>
  <si>
    <t>Peso</t>
  </si>
  <si>
    <t>2 · PRIORIDAD DE CADA ALTERNATIVA DENTRO DE CADA CRITERIO   (viene de las hojas C1, C2 ...)</t>
  </si>
  <si>
    <t>Alternativa</t>
  </si>
  <si>
    <t>PUNTUACION FINAL</t>
  </si>
  <si>
    <t>PUESTO</t>
  </si>
  <si>
    <t>Suma de las puntuaciones (debe dar 1)</t>
  </si>
  <si>
    <t>3 · REVISION DE CONSISTENCIA   (todas las matrices tienen que estar por debajo del 10%)</t>
  </si>
  <si>
    <t>Matriz</t>
  </si>
  <si>
    <t>CR</t>
  </si>
  <si>
    <t>Estado</t>
  </si>
  <si>
    <t>Criterios</t>
  </si>
  <si>
    <t>4 · VEREDICTO</t>
  </si>
  <si>
    <t>CR mas alto de todas las matrices</t>
  </si>
  <si>
    <t>Alternativa ganadora</t>
  </si>
  <si>
    <t>Como se lee la puntuacion final: es el porcentaje de preferencia total. Si una alternativa saca 46% y otra 31%, la primera es preferible, pero fijate en la diferencia: si estan a menos de 5 puntos, la decision es fragil y conviene revisar los pesos antes de cerrarla.</t>
  </si>
  <si>
    <t>Alt #1</t>
  </si>
  <si>
    <t>Alt #2</t>
  </si>
  <si>
    <t>Alt #3</t>
  </si>
  <si>
    <t>Alt #4</t>
  </si>
  <si>
    <t>Alt #5</t>
  </si>
  <si>
    <t xml:space="preserve">Costo total </t>
  </si>
  <si>
    <t>Tiempo de entrega</t>
  </si>
  <si>
    <t xml:space="preserve">Experiencia de usario </t>
  </si>
  <si>
    <t>Seguridad</t>
  </si>
  <si>
    <t>Acceso a Hardware</t>
  </si>
  <si>
    <t>Función sin internet</t>
  </si>
  <si>
    <t>Curva de aprendisaje del equipo</t>
  </si>
  <si>
    <t>Nativas</t>
  </si>
  <si>
    <t>Multiplataforma</t>
  </si>
  <si>
    <t>Aplicación web</t>
  </si>
  <si>
    <t>NATIVAS#1</t>
  </si>
  <si>
    <t>MULTI #2</t>
  </si>
  <si>
    <t>WEB #3</t>
  </si>
  <si>
    <t>Funciona sin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</si>
</sst>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"/>
    <numFmt numFmtId="165" formatCode="0.0%"/>
    <numFmt numFmtId="166" formatCode="_-* #,##0_-;\-* #,##0_-;_-* &quot;-&quot;??_-;_-@_-"/>
  </numFmts>
  <fonts count="4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rgb="FF42566A"/>
      <name val="Calibri"/>
      <family val="2"/>
    </font>
    <font>
      <b/>
      <sz val="11.5"/>
      <color rgb="FF1A57A0"/>
      <name val="Calibri"/>
      <family val="2"/>
    </font>
    <font>
      <b/>
      <sz val="13"/>
      <color rgb="FFFFFFFF"/>
      <name val="Calibri"/>
      <family val="2"/>
    </font>
    <font>
      <b/>
      <sz val="11"/>
      <color rgb="FF141E29"/>
      <name val="Calibri"/>
      <family val="2"/>
    </font>
    <font>
      <sz val="10.5"/>
      <color rgb="FF42566A"/>
      <name val="Calibri"/>
      <family val="2"/>
    </font>
    <font>
      <b/>
      <sz val="11.5"/>
      <color rgb="FFC17C16"/>
      <name val="Calibri"/>
      <family val="2"/>
    </font>
    <font>
      <sz val="9.5"/>
      <color rgb="FF697C8F"/>
      <name val="Calibri"/>
      <family val="2"/>
    </font>
    <font>
      <b/>
      <sz val="10.5"/>
      <color rgb="FFFFFFFF"/>
      <name val="Calibri"/>
      <family val="2"/>
    </font>
    <font>
      <b/>
      <sz val="10.5"/>
      <color rgb="FF141E29"/>
      <name val="Calibri"/>
      <family val="2"/>
    </font>
    <font>
      <i/>
      <sz val="10"/>
      <color rgb="FF42566A"/>
      <name val="Calibri"/>
      <family val="2"/>
    </font>
    <font>
      <b/>
      <sz val="11.5"/>
      <color rgb="FF2B8A6D"/>
      <name val="Calibri"/>
      <family val="2"/>
    </font>
    <font>
      <b/>
      <sz val="10.5"/>
      <color rgb="FF1A57A0"/>
      <name val="Calibri"/>
      <family val="2"/>
    </font>
    <font>
      <b/>
      <sz val="11.5"/>
      <color rgb="FFC0483C"/>
      <name val="Calibri"/>
      <family val="2"/>
    </font>
    <font>
      <sz val="10.5"/>
      <color rgb="FF697C8F"/>
      <name val="Calibri"/>
      <family val="2"/>
    </font>
    <font>
      <b/>
      <sz val="11"/>
      <color rgb="FF2B8A6D"/>
      <name val="Calibri"/>
      <family val="2"/>
    </font>
    <font>
      <b/>
      <sz val="11"/>
      <color rgb="FFC17C16"/>
      <name val="Calibri"/>
      <family val="2"/>
    </font>
    <font>
      <b/>
      <sz val="11"/>
      <color rgb="FFC0483C"/>
      <name val="Calibri"/>
      <family val="2"/>
    </font>
    <font>
      <b/>
      <sz val="11.5"/>
      <color rgb="FF42566A"/>
      <name val="Calibri"/>
      <family val="2"/>
    </font>
    <font>
      <b/>
      <sz val="10"/>
      <color rgb="FFFFFFFF"/>
      <name val="Calibri"/>
      <family val="2"/>
    </font>
    <font>
      <sz val="10"/>
      <color rgb="FF141E29"/>
      <name val="Calibri"/>
      <family val="2"/>
    </font>
    <font>
      <sz val="11"/>
      <color rgb="FF141E29"/>
      <name val="Calibri"/>
      <family val="2"/>
    </font>
    <font>
      <b/>
      <sz val="13"/>
      <color rgb="FF1A57A0"/>
      <name val="Calibri"/>
      <family val="2"/>
    </font>
    <font>
      <sz val="10"/>
      <color rgb="FF697C8F"/>
      <name val="Calibri"/>
      <family val="2"/>
    </font>
    <font>
      <i/>
      <sz val="10"/>
      <color rgb="FFC17C16"/>
      <name val="Calibri"/>
      <family val="2"/>
    </font>
    <font>
      <sz val="11"/>
      <color rgb="FF42566A"/>
      <name val="Calibri"/>
      <family val="2"/>
    </font>
    <font>
      <i/>
      <sz val="10"/>
      <color rgb="FF697C8F"/>
      <name val="Calibri"/>
      <family val="2"/>
    </font>
    <font>
      <b/>
      <sz val="9.5"/>
      <color rgb="FFFFFFFF"/>
      <name val="Calibri"/>
      <family val="2"/>
    </font>
    <font>
      <b/>
      <sz val="11"/>
      <color rgb="FF123F77"/>
      <name val="Calibri"/>
      <family val="2"/>
    </font>
    <font>
      <b/>
      <sz val="11"/>
      <color rgb="FF1A57A0"/>
      <name val="Calibri"/>
      <family val="2"/>
    </font>
    <font>
      <b/>
      <sz val="10"/>
      <color rgb="FF697C8F"/>
      <name val="Calibri"/>
      <family val="2"/>
    </font>
    <font>
      <i/>
      <sz val="9.5"/>
      <color rgb="FF697C8F"/>
      <name val="Calibri"/>
      <family val="2"/>
    </font>
    <font>
      <sz val="10.5"/>
      <color rgb="FF141E29"/>
      <name val="Calibri"/>
      <family val="2"/>
    </font>
    <font>
      <b/>
      <sz val="10.5"/>
      <color rgb="FFC0483C"/>
      <name val="Calibri"/>
      <family val="2"/>
    </font>
    <font>
      <b/>
      <sz val="12"/>
      <color rgb="FF141E29"/>
      <name val="Calibri"/>
      <family val="2"/>
    </font>
    <font>
      <b/>
      <sz val="12"/>
      <color rgb="FFFFFFFF"/>
      <name val="Calibri"/>
      <family val="2"/>
    </font>
    <font>
      <b/>
      <sz val="16"/>
      <color rgb="FF141E29"/>
      <name val="Calibri"/>
      <family val="2"/>
    </font>
    <font>
      <i/>
      <sz val="9.5"/>
      <color rgb="FFC0483C"/>
      <name val="Calibri"/>
      <family val="2"/>
    </font>
    <font>
      <b/>
      <sz val="13"/>
      <color rgb="FFC17C16"/>
      <name val="Calibri"/>
      <family val="2"/>
    </font>
    <font>
      <b/>
      <sz val="12"/>
      <color rgb="FF2B8A6D"/>
      <name val="Calibri"/>
      <family val="2"/>
    </font>
    <font>
      <b/>
      <sz val="14"/>
      <color rgb="FF141E29"/>
      <name val="Calibri"/>
      <family val="2"/>
    </font>
    <font>
      <b/>
      <sz val="14"/>
      <color rgb="FF2B8A6D"/>
      <name val="Calibri"/>
      <family val="2"/>
    </font>
    <font>
      <i/>
      <sz val="10.5"/>
      <color rgb="FF42566A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A57A0"/>
      </patternFill>
    </fill>
    <fill>
      <patternFill patternType="solid">
        <fgColor rgb="FFE4EEFB"/>
      </patternFill>
    </fill>
    <fill>
      <patternFill patternType="solid">
        <fgColor rgb="FFFBF0DA"/>
      </patternFill>
    </fill>
    <fill>
      <patternFill patternType="solid">
        <fgColor rgb="FF123F77"/>
      </patternFill>
    </fill>
    <fill>
      <patternFill patternType="solid">
        <fgColor rgb="FF7D93AA"/>
      </patternFill>
    </fill>
    <fill>
      <patternFill patternType="solid">
        <fgColor rgb="FFDEB138"/>
      </patternFill>
    </fill>
    <fill>
      <patternFill patternType="solid">
        <fgColor rgb="FFDF8A3C"/>
      </patternFill>
    </fill>
    <fill>
      <patternFill patternType="solid">
        <fgColor rgb="FFD75549"/>
      </patternFill>
    </fill>
    <fill>
      <patternFill patternType="solid">
        <fgColor rgb="FF8E2F27"/>
      </patternFill>
    </fill>
    <fill>
      <patternFill patternType="solid">
        <fgColor rgb="FF9AA7B5"/>
      </patternFill>
    </fill>
    <fill>
      <patternFill patternType="solid">
        <fgColor rgb="FFE0F2EC"/>
      </patternFill>
    </fill>
    <fill>
      <patternFill patternType="solid">
        <fgColor rgb="FFF7E4E2"/>
      </patternFill>
    </fill>
    <fill>
      <patternFill patternType="solid">
        <fgColor rgb="FFE7ECF3"/>
      </patternFill>
    </fill>
    <fill>
      <patternFill patternType="solid">
        <fgColor rgb="FFFFF8E1"/>
      </patternFill>
    </fill>
    <fill>
      <patternFill patternType="solid">
        <fgColor rgb="FFF3F6FA"/>
      </patternFill>
    </fill>
    <fill>
      <patternFill patternType="solid">
        <fgColor rgb="FFC17C16"/>
      </patternFill>
    </fill>
    <fill>
      <patternFill patternType="solid">
        <fgColor rgb="FF2B8A6D"/>
      </patternFill>
    </fill>
  </fills>
  <borders count="4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  <border>
      <left/>
      <right/>
      <top style="thin">
        <color rgb="FFD5DDE8"/>
      </top>
      <bottom style="thin">
        <color rgb="FFD5DDE8"/>
      </bottom>
      <diagonal/>
    </border>
    <border>
      <left/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3">
    <xf numFmtId="0" fontId="0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</cellStyleXfs>
  <cellXfs count="107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2" fillId="15" borderId="1" xfId="0" applyFont="1" applyFill="1" applyBorder="1" applyAlignment="1">
      <alignment horizontal="left" vertical="center"/>
    </xf>
    <xf numFmtId="0" fontId="23" fillId="15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left" vertical="center"/>
    </xf>
    <xf numFmtId="12" fontId="15" fillId="14" borderId="1" xfId="0" applyNumberFormat="1" applyFont="1" applyFill="1" applyBorder="1" applyAlignment="1">
      <alignment horizontal="center" vertical="center"/>
    </xf>
    <xf numFmtId="12" fontId="29" fillId="15" borderId="1" xfId="0" applyNumberFormat="1" applyFont="1" applyFill="1" applyBorder="1" applyAlignment="1">
      <alignment horizontal="center" vertical="center"/>
    </xf>
    <xf numFmtId="12" fontId="15" fillId="0" borderId="1" xfId="0" applyNumberFormat="1" applyFont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30" fillId="0" borderId="1" xfId="0" applyNumberFormat="1" applyFont="1" applyBorder="1" applyAlignment="1">
      <alignment horizontal="center" vertical="center"/>
    </xf>
    <xf numFmtId="165" fontId="16" fillId="12" borderId="1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164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/>
    </xf>
    <xf numFmtId="0" fontId="33" fillId="16" borderId="1" xfId="0" applyFont="1" applyFill="1" applyBorder="1" applyAlignment="1">
      <alignment horizontal="left" vertical="center"/>
    </xf>
    <xf numFmtId="164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0" fontId="34" fillId="13" borderId="1" xfId="0" applyFont="1" applyFill="1" applyBorder="1" applyAlignment="1">
      <alignment horizontal="left" vertical="center"/>
    </xf>
    <xf numFmtId="164" fontId="35" fillId="13" borderId="1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left" vertical="center"/>
    </xf>
    <xf numFmtId="165" fontId="37" fillId="0" borderId="1" xfId="0" applyNumberFormat="1" applyFont="1" applyBorder="1" applyAlignment="1">
      <alignment horizontal="center" vertical="center"/>
    </xf>
    <xf numFmtId="165" fontId="30" fillId="3" borderId="1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165" fontId="6" fillId="0" borderId="1" xfId="0" applyNumberFormat="1" applyFont="1" applyBorder="1" applyAlignment="1">
      <alignment horizontal="center" vertical="center"/>
    </xf>
    <xf numFmtId="165" fontId="40" fillId="12" borderId="1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41" fillId="0" borderId="1" xfId="0" applyNumberFormat="1" applyFont="1" applyBorder="1" applyAlignment="1">
      <alignment horizontal="center" vertical="center"/>
    </xf>
    <xf numFmtId="9" fontId="0" fillId="0" borderId="0" xfId="2" applyFont="1"/>
    <xf numFmtId="0" fontId="47" fillId="0" borderId="0" xfId="0" applyFont="1"/>
    <xf numFmtId="9" fontId="46" fillId="0" borderId="0" xfId="0" applyNumberFormat="1" applyFont="1"/>
    <xf numFmtId="9" fontId="46" fillId="0" borderId="0" xfId="2" applyFont="1"/>
    <xf numFmtId="166" fontId="0" fillId="0" borderId="0" xfId="1" applyNumberFormat="1" applyFont="1"/>
    <xf numFmtId="166" fontId="46" fillId="0" borderId="0" xfId="1" applyNumberFormat="1" applyFont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11" fillId="0" borderId="1" xfId="0" applyFont="1" applyBorder="1" applyAlignment="1">
      <alignment horizontal="left" vertical="center" wrapText="1"/>
    </xf>
    <xf numFmtId="0" fontId="0" fillId="0" borderId="1" xfId="0" applyBorder="1"/>
    <xf numFmtId="0" fontId="6" fillId="0" borderId="0" xfId="0" applyFont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6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7" fillId="4" borderId="0" xfId="0" applyFont="1" applyFill="1" applyAlignment="1">
      <alignment horizontal="left" vertical="center"/>
    </xf>
    <xf numFmtId="0" fontId="0" fillId="4" borderId="0" xfId="0" applyFill="1"/>
    <xf numFmtId="0" fontId="13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17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5" fillId="0" borderId="0" xfId="0" applyFont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2" fillId="12" borderId="0" xfId="0" applyFont="1" applyFill="1" applyAlignment="1">
      <alignment horizontal="left" vertical="center"/>
    </xf>
    <xf numFmtId="0" fontId="0" fillId="12" borderId="0" xfId="0" applyFill="1"/>
    <xf numFmtId="0" fontId="14" fillId="13" borderId="0" xfId="0" applyFont="1" applyFill="1" applyAlignment="1">
      <alignment horizontal="left" vertical="center"/>
    </xf>
    <xf numFmtId="0" fontId="0" fillId="13" borderId="0" xfId="0" applyFill="1"/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20" fillId="5" borderId="1" xfId="0" applyFont="1" applyFill="1" applyBorder="1" applyAlignment="1">
      <alignment horizontal="left" vertical="center"/>
    </xf>
    <xf numFmtId="0" fontId="19" fillId="14" borderId="0" xfId="0" applyFont="1" applyFill="1" applyAlignment="1">
      <alignment horizontal="left" vertical="center"/>
    </xf>
    <xf numFmtId="0" fontId="0" fillId="14" borderId="0" xfId="0" applyFill="1"/>
    <xf numFmtId="0" fontId="27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2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3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39" fillId="4" borderId="0" xfId="0" applyFont="1" applyFill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43" fillId="0" borderId="0" xfId="0" applyFont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18"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sz val="12"/>
        <color rgb="FFC0483C"/>
      </font>
      <fill>
        <patternFill patternType="solid">
          <fgColor rgb="FFF7E4E2"/>
          <bgColor rgb="FFF7E4E2"/>
        </patternFill>
      </fill>
    </dxf>
    <dxf>
      <font>
        <b/>
        <sz val="12"/>
        <color rgb="FFC17C16"/>
      </font>
      <fill>
        <patternFill patternType="solid">
          <fgColor rgb="FFFBF0DA"/>
          <bgColor rgb="FFFBF0DA"/>
        </patternFill>
      </fill>
    </dxf>
    <dxf>
      <font>
        <b/>
        <sz val="12"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b/>
        <color rgb="FFC0483C"/>
      </font>
      <fill>
        <patternFill patternType="solid">
          <fgColor rgb="FFF7E4E2"/>
          <bgColor rgb="FFF7E4E2"/>
        </patternFill>
      </fill>
    </dxf>
    <dxf>
      <font>
        <b/>
        <color rgb="FFC17C16"/>
      </font>
      <fill>
        <patternFill patternType="solid">
          <fgColor rgb="FFFBF0DA"/>
          <bgColor rgb="FFFBF0DA"/>
        </patternFill>
      </fill>
    </dxf>
    <dxf>
      <font>
        <b/>
        <color rgb="FF2B8A6D"/>
      </font>
      <fill>
        <patternFill patternType="solid">
          <fgColor rgb="FFE0F2EC"/>
          <bgColor rgb="FFE0F2EC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E7ECF3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  <dxf>
      <font>
        <color rgb="FFBFC9D6"/>
      </font>
      <fill>
        <patternFill patternType="solid">
          <fgColor rgb="FFE7ECF3"/>
          <bgColor rgb="FFE7EC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57A0"/>
    <pageSetUpPr fitToPage="1"/>
  </sheetPr>
  <dimension ref="B2:H51"/>
  <sheetViews>
    <sheetView showGridLines="0" topLeftCell="A18" workbookViewId="0"/>
  </sheetViews>
  <sheetFormatPr baseColWidth="10" defaultColWidth="9.140625" defaultRowHeight="15" x14ac:dyDescent="0.25"/>
  <cols>
    <col min="1" max="1" width="3" customWidth="1"/>
    <col min="2" max="2" width="13" customWidth="1"/>
    <col min="3" max="3" width="27" customWidth="1"/>
    <col min="4" max="4" width="46" customWidth="1"/>
    <col min="5" max="5" width="42" customWidth="1"/>
    <col min="6" max="6" width="18" customWidth="1"/>
    <col min="7" max="8" width="14" customWidth="1"/>
  </cols>
  <sheetData>
    <row r="2" spans="2:8" ht="26.1" customHeight="1" x14ac:dyDescent="0.25">
      <c r="B2" s="60" t="s">
        <v>0</v>
      </c>
      <c r="C2" s="61"/>
      <c r="D2" s="61"/>
      <c r="E2" s="61"/>
      <c r="F2" s="61"/>
      <c r="G2" s="61"/>
      <c r="H2" s="61"/>
    </row>
    <row r="3" spans="2:8" ht="30" customHeight="1" x14ac:dyDescent="0.25">
      <c r="B3" s="67" t="s">
        <v>1</v>
      </c>
      <c r="C3" s="65"/>
      <c r="D3" s="65"/>
      <c r="E3" s="65"/>
      <c r="F3" s="65"/>
      <c r="G3" s="65"/>
      <c r="H3" s="65"/>
    </row>
    <row r="5" spans="2:8" ht="20.100000000000001" customHeight="1" x14ac:dyDescent="0.25">
      <c r="B5" s="87" t="s">
        <v>2</v>
      </c>
      <c r="C5" s="88"/>
      <c r="D5" s="88"/>
      <c r="E5" s="88"/>
      <c r="F5" s="88"/>
      <c r="G5" s="88"/>
      <c r="H5" s="88"/>
    </row>
    <row r="6" spans="2:8" ht="32.1" customHeight="1" x14ac:dyDescent="0.25">
      <c r="B6" s="1" t="s">
        <v>3</v>
      </c>
      <c r="C6" s="2" t="s">
        <v>4</v>
      </c>
      <c r="D6" s="64" t="s">
        <v>5</v>
      </c>
      <c r="E6" s="65"/>
      <c r="F6" s="65"/>
      <c r="G6" s="65"/>
      <c r="H6" s="65"/>
    </row>
    <row r="7" spans="2:8" ht="32.1" customHeight="1" x14ac:dyDescent="0.25">
      <c r="B7" s="1" t="s">
        <v>6</v>
      </c>
      <c r="C7" s="2" t="s">
        <v>7</v>
      </c>
      <c r="D7" s="64" t="s">
        <v>8</v>
      </c>
      <c r="E7" s="65"/>
      <c r="F7" s="65"/>
      <c r="G7" s="65"/>
      <c r="H7" s="65"/>
    </row>
    <row r="8" spans="2:8" ht="32.1" customHeight="1" x14ac:dyDescent="0.25">
      <c r="B8" s="1" t="s">
        <v>9</v>
      </c>
      <c r="C8" s="2" t="s">
        <v>10</v>
      </c>
      <c r="D8" s="64" t="s">
        <v>11</v>
      </c>
      <c r="E8" s="65"/>
      <c r="F8" s="65"/>
      <c r="G8" s="65"/>
      <c r="H8" s="65"/>
    </row>
    <row r="9" spans="2:8" ht="32.1" customHeight="1" x14ac:dyDescent="0.25">
      <c r="B9" s="1" t="s">
        <v>12</v>
      </c>
      <c r="C9" s="2" t="s">
        <v>13</v>
      </c>
      <c r="D9" s="64" t="s">
        <v>14</v>
      </c>
      <c r="E9" s="65"/>
      <c r="F9" s="65"/>
      <c r="G9" s="65"/>
      <c r="H9" s="65"/>
    </row>
    <row r="10" spans="2:8" ht="32.1" customHeight="1" x14ac:dyDescent="0.25">
      <c r="B10" s="1" t="s">
        <v>15</v>
      </c>
      <c r="C10" s="2" t="s">
        <v>16</v>
      </c>
      <c r="D10" s="64" t="s">
        <v>17</v>
      </c>
      <c r="E10" s="65"/>
      <c r="F10" s="65"/>
      <c r="G10" s="65"/>
      <c r="H10" s="65"/>
    </row>
    <row r="12" spans="2:8" ht="20.100000000000001" customHeight="1" x14ac:dyDescent="0.25">
      <c r="B12" s="71" t="s">
        <v>18</v>
      </c>
      <c r="C12" s="72"/>
      <c r="D12" s="72"/>
      <c r="E12" s="72"/>
      <c r="F12" s="72"/>
      <c r="G12" s="72"/>
      <c r="H12" s="72"/>
    </row>
    <row r="13" spans="2:8" x14ac:dyDescent="0.25">
      <c r="B13" s="66" t="s">
        <v>19</v>
      </c>
      <c r="C13" s="65"/>
      <c r="D13" s="65"/>
      <c r="E13" s="65"/>
      <c r="F13" s="65"/>
      <c r="G13" s="65"/>
      <c r="H13" s="65"/>
    </row>
    <row r="14" spans="2:8" x14ac:dyDescent="0.25">
      <c r="B14" s="3" t="s">
        <v>20</v>
      </c>
      <c r="C14" s="3" t="s">
        <v>21</v>
      </c>
      <c r="D14" s="3" t="s">
        <v>22</v>
      </c>
      <c r="E14" s="80" t="s">
        <v>23</v>
      </c>
      <c r="F14" s="81"/>
      <c r="G14" s="81"/>
      <c r="H14" s="82"/>
    </row>
    <row r="15" spans="2:8" ht="33.950000000000003" customHeight="1" x14ac:dyDescent="0.25">
      <c r="B15" s="4" t="s">
        <v>3</v>
      </c>
      <c r="C15" s="5" t="s">
        <v>24</v>
      </c>
      <c r="D15" s="6" t="s">
        <v>25</v>
      </c>
      <c r="E15" s="62" t="s">
        <v>26</v>
      </c>
      <c r="F15" s="63"/>
      <c r="G15" s="63"/>
      <c r="H15" s="63"/>
    </row>
    <row r="16" spans="2:8" ht="33.950000000000003" customHeight="1" x14ac:dyDescent="0.25">
      <c r="B16" s="7" t="s">
        <v>9</v>
      </c>
      <c r="C16" s="5" t="s">
        <v>27</v>
      </c>
      <c r="D16" s="6" t="s">
        <v>28</v>
      </c>
      <c r="E16" s="62" t="s">
        <v>29</v>
      </c>
      <c r="F16" s="63"/>
      <c r="G16" s="63"/>
      <c r="H16" s="63"/>
    </row>
    <row r="17" spans="2:8" ht="33.950000000000003" customHeight="1" x14ac:dyDescent="0.25">
      <c r="B17" s="8" t="s">
        <v>15</v>
      </c>
      <c r="C17" s="5" t="s">
        <v>30</v>
      </c>
      <c r="D17" s="6" t="s">
        <v>31</v>
      </c>
      <c r="E17" s="62" t="s">
        <v>32</v>
      </c>
      <c r="F17" s="63"/>
      <c r="G17" s="63"/>
      <c r="H17" s="63"/>
    </row>
    <row r="18" spans="2:8" ht="33.950000000000003" customHeight="1" x14ac:dyDescent="0.25">
      <c r="B18" s="9" t="s">
        <v>33</v>
      </c>
      <c r="C18" s="5" t="s">
        <v>34</v>
      </c>
      <c r="D18" s="6" t="s">
        <v>35</v>
      </c>
      <c r="E18" s="62" t="s">
        <v>36</v>
      </c>
      <c r="F18" s="63"/>
      <c r="G18" s="63"/>
      <c r="H18" s="63"/>
    </row>
    <row r="19" spans="2:8" ht="33.950000000000003" customHeight="1" x14ac:dyDescent="0.25">
      <c r="B19" s="10" t="s">
        <v>37</v>
      </c>
      <c r="C19" s="5" t="s">
        <v>38</v>
      </c>
      <c r="D19" s="6" t="s">
        <v>39</v>
      </c>
      <c r="E19" s="62" t="s">
        <v>40</v>
      </c>
      <c r="F19" s="63"/>
      <c r="G19" s="63"/>
      <c r="H19" s="63"/>
    </row>
    <row r="20" spans="2:8" ht="33.950000000000003" customHeight="1" x14ac:dyDescent="0.25">
      <c r="B20" s="11" t="s">
        <v>41</v>
      </c>
      <c r="C20" s="5" t="s">
        <v>42</v>
      </c>
      <c r="D20" s="6" t="s">
        <v>43</v>
      </c>
      <c r="E20" s="62" t="s">
        <v>44</v>
      </c>
      <c r="F20" s="63"/>
      <c r="G20" s="63"/>
      <c r="H20" s="63"/>
    </row>
    <row r="22" spans="2:8" ht="20.100000000000001" customHeight="1" x14ac:dyDescent="0.25">
      <c r="B22" s="83" t="s">
        <v>45</v>
      </c>
      <c r="C22" s="84"/>
      <c r="D22" s="84"/>
      <c r="E22" s="84"/>
      <c r="F22" s="84"/>
      <c r="G22" s="84"/>
      <c r="H22" s="84"/>
    </row>
    <row r="23" spans="2:8" ht="32.1" customHeight="1" x14ac:dyDescent="0.25">
      <c r="B23" s="64" t="s">
        <v>46</v>
      </c>
      <c r="C23" s="65"/>
      <c r="D23" s="65"/>
      <c r="E23" s="65"/>
      <c r="F23" s="65"/>
      <c r="G23" s="65"/>
      <c r="H23" s="65"/>
    </row>
    <row r="25" spans="2:8" x14ac:dyDescent="0.25">
      <c r="B25" s="73" t="s">
        <v>47</v>
      </c>
      <c r="C25" s="65"/>
      <c r="D25" s="64" t="s">
        <v>48</v>
      </c>
      <c r="E25" s="65"/>
      <c r="F25" s="65"/>
      <c r="G25" s="65"/>
      <c r="H25" s="65"/>
    </row>
    <row r="26" spans="2:8" x14ac:dyDescent="0.25">
      <c r="B26" s="73" t="s">
        <v>49</v>
      </c>
      <c r="C26" s="65"/>
      <c r="D26" s="64" t="s">
        <v>50</v>
      </c>
      <c r="E26" s="65"/>
      <c r="F26" s="65"/>
      <c r="G26" s="65"/>
      <c r="H26" s="65"/>
    </row>
    <row r="27" spans="2:8" x14ac:dyDescent="0.25">
      <c r="B27" s="73" t="s">
        <v>51</v>
      </c>
      <c r="C27" s="65"/>
      <c r="D27" s="64" t="s">
        <v>52</v>
      </c>
      <c r="E27" s="65"/>
      <c r="F27" s="65"/>
      <c r="G27" s="65"/>
      <c r="H27" s="65"/>
    </row>
    <row r="28" spans="2:8" x14ac:dyDescent="0.25">
      <c r="B28" s="73" t="s">
        <v>53</v>
      </c>
      <c r="C28" s="65"/>
      <c r="D28" s="64" t="s">
        <v>54</v>
      </c>
      <c r="E28" s="65"/>
      <c r="F28" s="65"/>
      <c r="G28" s="65"/>
      <c r="H28" s="65"/>
    </row>
    <row r="30" spans="2:8" ht="20.100000000000001" customHeight="1" x14ac:dyDescent="0.25">
      <c r="B30" s="85" t="s">
        <v>55</v>
      </c>
      <c r="C30" s="86"/>
      <c r="D30" s="86"/>
      <c r="E30" s="86"/>
      <c r="F30" s="86"/>
      <c r="G30" s="86"/>
      <c r="H30" s="86"/>
    </row>
    <row r="31" spans="2:8" x14ac:dyDescent="0.25">
      <c r="B31" s="79" t="s">
        <v>56</v>
      </c>
      <c r="C31" s="65"/>
      <c r="D31" s="65"/>
      <c r="E31" s="65"/>
      <c r="F31" s="65"/>
      <c r="G31" s="65"/>
      <c r="H31" s="65"/>
    </row>
    <row r="33" spans="2:8" ht="20.100000000000001" customHeight="1" x14ac:dyDescent="0.25">
      <c r="B33" s="69" t="s">
        <v>57</v>
      </c>
      <c r="C33" s="70"/>
      <c r="D33" s="74" t="s">
        <v>58</v>
      </c>
      <c r="E33" s="63"/>
      <c r="F33" s="63"/>
      <c r="G33" s="63"/>
      <c r="H33" s="63"/>
    </row>
    <row r="34" spans="2:8" ht="20.100000000000001" customHeight="1" x14ac:dyDescent="0.25">
      <c r="B34" s="69" t="s">
        <v>59</v>
      </c>
      <c r="C34" s="70"/>
      <c r="D34" s="74" t="s">
        <v>60</v>
      </c>
      <c r="E34" s="63"/>
      <c r="F34" s="63"/>
      <c r="G34" s="63"/>
      <c r="H34" s="63"/>
    </row>
    <row r="35" spans="2:8" ht="20.100000000000001" customHeight="1" x14ac:dyDescent="0.25">
      <c r="B35" s="77" t="s">
        <v>61</v>
      </c>
      <c r="C35" s="78"/>
      <c r="D35" s="74" t="s">
        <v>62</v>
      </c>
      <c r="E35" s="63"/>
      <c r="F35" s="63"/>
      <c r="G35" s="63"/>
      <c r="H35" s="63"/>
    </row>
    <row r="36" spans="2:8" ht="20.100000000000001" customHeight="1" x14ac:dyDescent="0.25">
      <c r="B36" s="75" t="s">
        <v>63</v>
      </c>
      <c r="C36" s="76"/>
      <c r="D36" s="74" t="s">
        <v>64</v>
      </c>
      <c r="E36" s="63"/>
      <c r="F36" s="63"/>
      <c r="G36" s="63"/>
      <c r="H36" s="63"/>
    </row>
    <row r="38" spans="2:8" x14ac:dyDescent="0.25">
      <c r="B38" s="64" t="s">
        <v>65</v>
      </c>
      <c r="C38" s="65"/>
      <c r="D38" s="65"/>
      <c r="E38" s="65"/>
      <c r="F38" s="65"/>
      <c r="G38" s="65"/>
      <c r="H38" s="65"/>
    </row>
    <row r="40" spans="2:8" ht="20.100000000000001" customHeight="1" x14ac:dyDescent="0.25">
      <c r="B40" s="90" t="s">
        <v>66</v>
      </c>
      <c r="C40" s="91"/>
      <c r="D40" s="91"/>
      <c r="E40" s="91"/>
      <c r="F40" s="91"/>
      <c r="G40" s="91"/>
      <c r="H40" s="91"/>
    </row>
    <row r="41" spans="2:8" x14ac:dyDescent="0.25">
      <c r="B41" s="12" t="s">
        <v>67</v>
      </c>
      <c r="C41" s="12" t="s">
        <v>68</v>
      </c>
      <c r="D41" s="89" t="s">
        <v>69</v>
      </c>
      <c r="E41" s="81"/>
      <c r="F41" s="81"/>
      <c r="G41" s="81"/>
      <c r="H41" s="82"/>
    </row>
    <row r="42" spans="2:8" x14ac:dyDescent="0.25">
      <c r="B42" s="13">
        <v>1</v>
      </c>
      <c r="C42" s="14">
        <v>0</v>
      </c>
      <c r="D42" s="68" t="s">
        <v>70</v>
      </c>
      <c r="E42" s="65"/>
      <c r="F42" s="65"/>
      <c r="G42" s="65"/>
      <c r="H42" s="65"/>
    </row>
    <row r="43" spans="2:8" x14ac:dyDescent="0.25">
      <c r="B43" s="13">
        <v>2</v>
      </c>
      <c r="C43" s="14">
        <v>0</v>
      </c>
      <c r="D43" s="68" t="s">
        <v>71</v>
      </c>
      <c r="E43" s="65"/>
      <c r="F43" s="65"/>
      <c r="G43" s="65"/>
      <c r="H43" s="65"/>
    </row>
    <row r="44" spans="2:8" x14ac:dyDescent="0.25">
      <c r="B44" s="13">
        <v>3</v>
      </c>
      <c r="C44" s="14">
        <v>0.57999999999999996</v>
      </c>
      <c r="D44" s="68" t="s">
        <v>72</v>
      </c>
      <c r="E44" s="65"/>
      <c r="F44" s="65"/>
      <c r="G44" s="65"/>
      <c r="H44" s="65"/>
    </row>
    <row r="45" spans="2:8" x14ac:dyDescent="0.25">
      <c r="B45" s="13">
        <v>4</v>
      </c>
      <c r="C45" s="14">
        <v>0.9</v>
      </c>
      <c r="D45" s="68" t="s">
        <v>73</v>
      </c>
      <c r="E45" s="65"/>
      <c r="F45" s="65"/>
      <c r="G45" s="65"/>
      <c r="H45" s="65"/>
    </row>
    <row r="46" spans="2:8" x14ac:dyDescent="0.25">
      <c r="B46" s="13">
        <v>5</v>
      </c>
      <c r="C46" s="14">
        <v>1.1200000000000001</v>
      </c>
      <c r="D46" s="68" t="s">
        <v>74</v>
      </c>
      <c r="E46" s="65"/>
      <c r="F46" s="65"/>
      <c r="G46" s="65"/>
      <c r="H46" s="65"/>
    </row>
    <row r="47" spans="2:8" x14ac:dyDescent="0.25">
      <c r="B47" s="13">
        <v>6</v>
      </c>
      <c r="C47" s="14">
        <v>1.24</v>
      </c>
      <c r="D47" s="68" t="s">
        <v>75</v>
      </c>
      <c r="E47" s="65"/>
      <c r="F47" s="65"/>
      <c r="G47" s="65"/>
      <c r="H47" s="65"/>
    </row>
    <row r="48" spans="2:8" x14ac:dyDescent="0.25">
      <c r="B48" s="13">
        <v>7</v>
      </c>
      <c r="C48" s="14">
        <v>1.32</v>
      </c>
    </row>
    <row r="49" spans="2:3" x14ac:dyDescent="0.25">
      <c r="B49" s="13">
        <v>8</v>
      </c>
      <c r="C49" s="14">
        <v>1.41</v>
      </c>
    </row>
    <row r="50" spans="2:3" x14ac:dyDescent="0.25">
      <c r="B50" s="13">
        <v>9</v>
      </c>
      <c r="C50" s="14">
        <v>1.45</v>
      </c>
    </row>
    <row r="51" spans="2:3" x14ac:dyDescent="0.25">
      <c r="B51" s="13">
        <v>10</v>
      </c>
      <c r="C51" s="14">
        <v>1.49</v>
      </c>
    </row>
  </sheetData>
  <mergeCells count="46">
    <mergeCell ref="D46:H46"/>
    <mergeCell ref="B27:C27"/>
    <mergeCell ref="B5:H5"/>
    <mergeCell ref="D36:H36"/>
    <mergeCell ref="D45:H45"/>
    <mergeCell ref="D6:H6"/>
    <mergeCell ref="E18:H18"/>
    <mergeCell ref="D27:H27"/>
    <mergeCell ref="D41:H41"/>
    <mergeCell ref="D44:H44"/>
    <mergeCell ref="D35:H35"/>
    <mergeCell ref="B40:H40"/>
    <mergeCell ref="B25:C25"/>
    <mergeCell ref="D34:H34"/>
    <mergeCell ref="D10:H10"/>
    <mergeCell ref="E16:H16"/>
    <mergeCell ref="B31:H31"/>
    <mergeCell ref="E14:H14"/>
    <mergeCell ref="B22:H22"/>
    <mergeCell ref="D7:H7"/>
    <mergeCell ref="E17:H17"/>
    <mergeCell ref="B30:H30"/>
    <mergeCell ref="D47:H47"/>
    <mergeCell ref="D43:H43"/>
    <mergeCell ref="B34:C34"/>
    <mergeCell ref="B12:H12"/>
    <mergeCell ref="E20:H20"/>
    <mergeCell ref="B28:C28"/>
    <mergeCell ref="D28:H28"/>
    <mergeCell ref="D25:H25"/>
    <mergeCell ref="B33:C33"/>
    <mergeCell ref="D42:H42"/>
    <mergeCell ref="D33:H33"/>
    <mergeCell ref="B36:C36"/>
    <mergeCell ref="B38:H38"/>
    <mergeCell ref="B26:C26"/>
    <mergeCell ref="B35:C35"/>
    <mergeCell ref="D26:H26"/>
    <mergeCell ref="B2:H2"/>
    <mergeCell ref="E19:H19"/>
    <mergeCell ref="D9:H9"/>
    <mergeCell ref="B23:H23"/>
    <mergeCell ref="D8:H8"/>
    <mergeCell ref="B13:H13"/>
    <mergeCell ref="E15:H15"/>
    <mergeCell ref="B3:H3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17C16"/>
    <pageSetUpPr fitToPage="1"/>
  </sheetPr>
  <dimension ref="B2:G27"/>
  <sheetViews>
    <sheetView showGridLines="0" workbookViewId="0">
      <selection activeCell="E13" sqref="E13"/>
    </sheetView>
  </sheetViews>
  <sheetFormatPr baseColWidth="10" defaultColWidth="9.140625" defaultRowHeight="15" x14ac:dyDescent="0.25"/>
  <cols>
    <col min="1" max="1" width="3" customWidth="1"/>
    <col min="2" max="2" width="30" customWidth="1"/>
    <col min="3" max="3" width="34" customWidth="1"/>
    <col min="4" max="4" width="8" customWidth="1"/>
    <col min="5" max="5" width="34" customWidth="1"/>
    <col min="6" max="6" width="4" customWidth="1"/>
    <col min="7" max="7" width="46" customWidth="1"/>
  </cols>
  <sheetData>
    <row r="2" spans="2:7" ht="26.1" customHeight="1" x14ac:dyDescent="0.25">
      <c r="B2" s="60" t="s">
        <v>76</v>
      </c>
      <c r="C2" s="61"/>
      <c r="D2" s="61"/>
      <c r="E2" s="61"/>
      <c r="F2" s="61"/>
      <c r="G2" s="61"/>
    </row>
    <row r="3" spans="2:7" ht="30" customHeight="1" x14ac:dyDescent="0.25">
      <c r="B3" s="67" t="s">
        <v>77</v>
      </c>
      <c r="C3" s="65"/>
      <c r="D3" s="65"/>
      <c r="E3" s="65"/>
      <c r="F3" s="65"/>
      <c r="G3" s="65"/>
    </row>
    <row r="5" spans="2:7" x14ac:dyDescent="0.25">
      <c r="B5" s="2" t="s">
        <v>78</v>
      </c>
      <c r="C5" s="95" t="s">
        <v>79</v>
      </c>
      <c r="D5" s="96"/>
      <c r="E5" s="96"/>
    </row>
    <row r="7" spans="2:7" ht="17.25" x14ac:dyDescent="0.25">
      <c r="B7" s="2" t="s">
        <v>80</v>
      </c>
      <c r="D7" s="16">
        <v>5</v>
      </c>
      <c r="E7" s="17" t="s">
        <v>81</v>
      </c>
    </row>
    <row r="8" spans="2:7" ht="17.25" x14ac:dyDescent="0.25">
      <c r="B8" s="2" t="s">
        <v>82</v>
      </c>
      <c r="D8" s="16">
        <v>3</v>
      </c>
      <c r="E8" s="17" t="s">
        <v>81</v>
      </c>
    </row>
    <row r="10" spans="2:7" ht="27.95" customHeight="1" x14ac:dyDescent="0.25">
      <c r="B10" s="94" t="s">
        <v>83</v>
      </c>
      <c r="C10" s="65"/>
      <c r="D10" s="65"/>
      <c r="E10" s="65"/>
      <c r="F10" s="65"/>
      <c r="G10" s="65"/>
    </row>
    <row r="12" spans="2:7" x14ac:dyDescent="0.25">
      <c r="B12" s="3" t="s">
        <v>84</v>
      </c>
      <c r="C12" s="3" t="s">
        <v>85</v>
      </c>
      <c r="D12" s="3" t="s">
        <v>84</v>
      </c>
      <c r="E12" s="3" t="s">
        <v>86</v>
      </c>
    </row>
    <row r="13" spans="2:7" ht="18.95" customHeight="1" x14ac:dyDescent="0.25">
      <c r="B13" s="18">
        <v>1</v>
      </c>
      <c r="C13" s="15" t="s">
        <v>163</v>
      </c>
      <c r="D13" s="18">
        <v>1</v>
      </c>
      <c r="E13" s="15" t="s">
        <v>170</v>
      </c>
    </row>
    <row r="14" spans="2:7" ht="18.95" customHeight="1" x14ac:dyDescent="0.25">
      <c r="B14" s="18">
        <v>2</v>
      </c>
      <c r="C14" s="15" t="s">
        <v>164</v>
      </c>
      <c r="D14" s="18">
        <v>2</v>
      </c>
      <c r="E14" s="15" t="s">
        <v>171</v>
      </c>
    </row>
    <row r="15" spans="2:7" ht="18.95" customHeight="1" x14ac:dyDescent="0.25">
      <c r="B15" s="18">
        <v>3</v>
      </c>
      <c r="C15" s="15" t="s">
        <v>165</v>
      </c>
      <c r="D15" s="18">
        <v>3</v>
      </c>
      <c r="E15" s="15" t="s">
        <v>172</v>
      </c>
    </row>
    <row r="16" spans="2:7" ht="18.95" customHeight="1" x14ac:dyDescent="0.25">
      <c r="B16" s="18">
        <v>4</v>
      </c>
      <c r="C16" s="15" t="s">
        <v>176</v>
      </c>
      <c r="D16" s="18">
        <v>4</v>
      </c>
      <c r="E16" s="15"/>
    </row>
    <row r="17" spans="2:7" ht="18.95" customHeight="1" x14ac:dyDescent="0.25">
      <c r="B17" s="18">
        <v>5</v>
      </c>
      <c r="C17" s="15" t="s">
        <v>166</v>
      </c>
      <c r="D17" s="18">
        <v>5</v>
      </c>
      <c r="E17" s="15"/>
    </row>
    <row r="18" spans="2:7" ht="18.95" customHeight="1" x14ac:dyDescent="0.25">
      <c r="B18" s="18">
        <v>6</v>
      </c>
      <c r="C18" s="15" t="s">
        <v>167</v>
      </c>
      <c r="D18" s="18">
        <v>6</v>
      </c>
      <c r="E18" s="15"/>
    </row>
    <row r="19" spans="2:7" ht="18.95" customHeight="1" x14ac:dyDescent="0.25">
      <c r="B19" s="18">
        <v>7</v>
      </c>
      <c r="C19" s="15" t="s">
        <v>168</v>
      </c>
      <c r="D19" s="18">
        <v>7</v>
      </c>
      <c r="E19" s="15"/>
    </row>
    <row r="20" spans="2:7" ht="18.95" customHeight="1" x14ac:dyDescent="0.25">
      <c r="B20" s="18">
        <v>8</v>
      </c>
      <c r="C20" s="15" t="s">
        <v>169</v>
      </c>
      <c r="D20" s="18">
        <v>8</v>
      </c>
      <c r="E20" s="15"/>
    </row>
    <row r="22" spans="2:7" ht="20.100000000000001" customHeight="1" x14ac:dyDescent="0.25">
      <c r="B22" s="83" t="s">
        <v>87</v>
      </c>
      <c r="C22" s="84"/>
      <c r="D22" s="84"/>
      <c r="E22" s="84"/>
      <c r="F22" s="84"/>
      <c r="G22" s="84"/>
    </row>
    <row r="23" spans="2:7" x14ac:dyDescent="0.25">
      <c r="B23" s="93" t="s">
        <v>88</v>
      </c>
      <c r="C23" s="65"/>
      <c r="D23" s="65"/>
      <c r="E23" s="65"/>
      <c r="F23" s="65"/>
      <c r="G23" s="65"/>
    </row>
    <row r="24" spans="2:7" x14ac:dyDescent="0.25">
      <c r="B24" s="93" t="s">
        <v>89</v>
      </c>
      <c r="C24" s="65"/>
      <c r="D24" s="65"/>
      <c r="E24" s="65"/>
      <c r="F24" s="65"/>
      <c r="G24" s="65"/>
    </row>
    <row r="25" spans="2:7" x14ac:dyDescent="0.25">
      <c r="B25" s="93" t="s">
        <v>90</v>
      </c>
      <c r="C25" s="65"/>
      <c r="D25" s="65"/>
      <c r="E25" s="65"/>
      <c r="F25" s="65"/>
      <c r="G25" s="65"/>
    </row>
    <row r="27" spans="2:7" x14ac:dyDescent="0.25">
      <c r="B27" s="92" t="s">
        <v>91</v>
      </c>
      <c r="C27" s="65"/>
      <c r="D27" s="65"/>
      <c r="E27" s="65"/>
      <c r="F27" s="65"/>
      <c r="G27" s="65"/>
    </row>
  </sheetData>
  <mergeCells count="9">
    <mergeCell ref="B27:G27"/>
    <mergeCell ref="B25:G25"/>
    <mergeCell ref="B3:G3"/>
    <mergeCell ref="B2:G2"/>
    <mergeCell ref="B24:G24"/>
    <mergeCell ref="B10:G10"/>
    <mergeCell ref="C5:E5"/>
    <mergeCell ref="B22:G22"/>
    <mergeCell ref="B23:G23"/>
  </mergeCells>
  <conditionalFormatting sqref="B13:C13">
    <cfRule type="expression" dxfId="117" priority="1">
      <formula>1&gt;nC</formula>
    </cfRule>
  </conditionalFormatting>
  <conditionalFormatting sqref="B14:C14">
    <cfRule type="expression" dxfId="116" priority="5">
      <formula>2&gt;nC</formula>
    </cfRule>
  </conditionalFormatting>
  <conditionalFormatting sqref="B15:C15">
    <cfRule type="expression" dxfId="115" priority="9">
      <formula>3&gt;nC</formula>
    </cfRule>
  </conditionalFormatting>
  <conditionalFormatting sqref="B16:C16">
    <cfRule type="expression" dxfId="114" priority="13">
      <formula>4&gt;nC</formula>
    </cfRule>
  </conditionalFormatting>
  <conditionalFormatting sqref="B17:C17">
    <cfRule type="expression" dxfId="113" priority="17">
      <formula>5&gt;nC</formula>
    </cfRule>
  </conditionalFormatting>
  <conditionalFormatting sqref="B18:C18">
    <cfRule type="expression" dxfId="112" priority="21">
      <formula>6&gt;nC</formula>
    </cfRule>
  </conditionalFormatting>
  <conditionalFormatting sqref="B19:C19">
    <cfRule type="expression" dxfId="111" priority="25">
      <formula>7&gt;nC</formula>
    </cfRule>
  </conditionalFormatting>
  <conditionalFormatting sqref="B20:C20">
    <cfRule type="expression" dxfId="110" priority="29">
      <formula>8&gt;nC</formula>
    </cfRule>
  </conditionalFormatting>
  <conditionalFormatting sqref="D13:E13">
    <cfRule type="expression" dxfId="109" priority="3">
      <formula>1&gt;nA</formula>
    </cfRule>
  </conditionalFormatting>
  <conditionalFormatting sqref="D14:E14">
    <cfRule type="expression" dxfId="108" priority="7">
      <formula>2&gt;nA</formula>
    </cfRule>
  </conditionalFormatting>
  <conditionalFormatting sqref="D15:E15">
    <cfRule type="expression" dxfId="107" priority="11">
      <formula>3&gt;nA</formula>
    </cfRule>
  </conditionalFormatting>
  <conditionalFormatting sqref="D16:E16">
    <cfRule type="expression" dxfId="106" priority="15">
      <formula>4&gt;nA</formula>
    </cfRule>
  </conditionalFormatting>
  <conditionalFormatting sqref="D17:E17">
    <cfRule type="expression" dxfId="105" priority="19">
      <formula>5&gt;nA</formula>
    </cfRule>
  </conditionalFormatting>
  <conditionalFormatting sqref="D18:E18">
    <cfRule type="expression" dxfId="104" priority="23">
      <formula>6&gt;nA</formula>
    </cfRule>
  </conditionalFormatting>
  <conditionalFormatting sqref="D19:E19">
    <cfRule type="expression" dxfId="103" priority="27">
      <formula>7&gt;nA</formula>
    </cfRule>
  </conditionalFormatting>
  <conditionalFormatting sqref="D20:E20">
    <cfRule type="expression" dxfId="102" priority="31">
      <formula>8&gt;nA</formula>
    </cfRule>
  </conditionalFormatting>
  <dataValidations count="1">
    <dataValidation type="whole" showErrorMessage="1" errorTitle="Valor no valido" error="Escribe un numero entero entre 2 y 8." sqref="D7 D8" xr:uid="{00000000-0002-0000-0100-000000000000}">
      <formula1>2</formula1>
      <formula2>8</formula2>
    </dataValidation>
  </dataValidation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7A0"/>
    <pageSetUpPr fitToPage="1"/>
  </sheetPr>
  <dimension ref="B2:M63"/>
  <sheetViews>
    <sheetView showGridLines="0" workbookViewId="0">
      <pane xSplit="2" ySplit="6" topLeftCell="C42" activePane="bottomRight" state="frozen"/>
      <selection pane="topRight"/>
      <selection pane="bottomLeft"/>
      <selection pane="bottomRight" activeCell="B17" sqref="B17"/>
    </sheetView>
  </sheetViews>
  <sheetFormatPr baseColWidth="10" defaultColWidth="9.140625" defaultRowHeight="15" x14ac:dyDescent="0.25"/>
  <cols>
    <col min="1" max="1" width="3" customWidth="1"/>
    <col min="2" max="2" width="38.28515625" bestFit="1" customWidth="1"/>
    <col min="3" max="3" width="11" customWidth="1"/>
    <col min="4" max="4" width="14.140625" customWidth="1"/>
    <col min="5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92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93</v>
      </c>
      <c r="C3" s="65"/>
      <c r="D3" s="65"/>
      <c r="E3" s="65"/>
      <c r="F3" s="65"/>
      <c r="G3" s="65"/>
      <c r="H3" s="65"/>
      <c r="I3" s="65"/>
      <c r="J3" s="65"/>
    </row>
    <row r="5" spans="2:13" ht="20.100000000000001" customHeight="1" x14ac:dyDescent="0.25">
      <c r="B5" s="87" t="s">
        <v>94</v>
      </c>
      <c r="C5" s="88"/>
      <c r="D5" s="88"/>
      <c r="E5" s="88"/>
      <c r="F5" s="88"/>
      <c r="G5" s="88"/>
      <c r="H5" s="88"/>
      <c r="I5" s="88"/>
      <c r="J5" s="88"/>
      <c r="L5" s="19" t="s">
        <v>95</v>
      </c>
      <c r="M5" s="20" t="s">
        <v>96</v>
      </c>
    </row>
    <row r="6" spans="2:13" ht="38.25" x14ac:dyDescent="0.25">
      <c r="B6" s="21" t="s">
        <v>97</v>
      </c>
      <c r="C6" s="21" t="str">
        <f>IF(1&gt;nC,"",INDEX(Configuracion!$C$13:$C$20,1))</f>
        <v xml:space="preserve">Costo total </v>
      </c>
      <c r="D6" s="21" t="str">
        <f>IF(2&gt;nC,"",INDEX(Configuracion!$C$13:$C$20,2))</f>
        <v>Tiempo de entrega</v>
      </c>
      <c r="E6" s="21" t="str">
        <f>IF(3&gt;nC,"",INDEX(Configuracion!$C$13:$C$20,3))</f>
        <v xml:space="preserve">Experiencia de usario </v>
      </c>
      <c r="F6" s="21" t="str">
        <f>IF(4&gt;nC,"",INDEX(Configuracion!$C$13:$C$20,4))</f>
        <v>Funciona sin internet</v>
      </c>
      <c r="G6" s="21" t="str">
        <f>IF(5&gt;nC,"",INDEX(Configuracion!$C$13:$C$20,5))</f>
        <v>Seguridad</v>
      </c>
      <c r="H6" s="21" t="str">
        <f>IF(6&gt;nC,"",INDEX(Configuracion!$C$13:$C$20,6))</f>
        <v/>
      </c>
      <c r="I6" s="21" t="str">
        <f>IF(7&gt;nC,"",INDEX(Configuracion!$C$13:$C$20,7))</f>
        <v/>
      </c>
      <c r="J6" s="21" t="str">
        <f>IF(8&gt;nC,"",INDEX(Configuracion!$C$13:$C$20,8))</f>
        <v/>
      </c>
      <c r="L6" s="22" t="s">
        <v>3</v>
      </c>
      <c r="M6" s="6" t="s">
        <v>98</v>
      </c>
    </row>
    <row r="7" spans="2:13" ht="18" customHeight="1" x14ac:dyDescent="0.25">
      <c r="B7" s="23" t="str">
        <f>IF(1&gt;nC,"",INDEX(Configuracion!$C$13:$C$20,1))</f>
        <v xml:space="preserve">Costo total </v>
      </c>
      <c r="C7" s="24">
        <f>IF(1&gt;nC,"",1)</f>
        <v>1</v>
      </c>
      <c r="D7" s="25">
        <v>1</v>
      </c>
      <c r="E7" s="25">
        <v>5</v>
      </c>
      <c r="F7" s="25">
        <v>1</v>
      </c>
      <c r="G7" s="25">
        <v>1</v>
      </c>
      <c r="H7" s="25">
        <v>1</v>
      </c>
      <c r="I7" s="25">
        <v>1</v>
      </c>
      <c r="J7" s="25">
        <v>1</v>
      </c>
      <c r="L7" s="22" t="s">
        <v>9</v>
      </c>
      <c r="M7" s="6" t="s">
        <v>99</v>
      </c>
    </row>
    <row r="8" spans="2:13" ht="18" customHeight="1" x14ac:dyDescent="0.25">
      <c r="B8" s="23" t="str">
        <f>IF(2&gt;nC,"",INDEX(Configuracion!$C$13:$C$20,2))</f>
        <v>Tiempo de entrega</v>
      </c>
      <c r="C8" s="26">
        <f>IF(2&gt;nC,"",IF(D7="","",1/D7))</f>
        <v>1</v>
      </c>
      <c r="D8" s="24">
        <f>IF(2&gt;nC,"",1)</f>
        <v>1</v>
      </c>
      <c r="E8" s="25">
        <v>5</v>
      </c>
      <c r="F8" s="25">
        <v>1</v>
      </c>
      <c r="G8" s="25">
        <v>3</v>
      </c>
      <c r="H8" s="25">
        <v>1</v>
      </c>
      <c r="I8" s="25">
        <v>1</v>
      </c>
      <c r="J8" s="25">
        <v>1</v>
      </c>
      <c r="L8" s="22" t="s">
        <v>15</v>
      </c>
      <c r="M8" s="6" t="s">
        <v>100</v>
      </c>
    </row>
    <row r="9" spans="2:13" ht="18" customHeight="1" x14ac:dyDescent="0.25">
      <c r="B9" s="23" t="str">
        <f>IF(3&gt;nC,"",INDEX(Configuracion!$C$13:$C$20,3))</f>
        <v xml:space="preserve">Experiencia de usario </v>
      </c>
      <c r="C9" s="26">
        <f>IF(3&gt;nC,"",IF(E7="","",1/E7))</f>
        <v>0.2</v>
      </c>
      <c r="D9" s="26">
        <f>IF(3&gt;nC,"",IF(E8="","",1/E8))</f>
        <v>0.2</v>
      </c>
      <c r="E9" s="24">
        <f>IF(3&gt;nC,"",1)</f>
        <v>1</v>
      </c>
      <c r="F9" s="25">
        <v>0.2</v>
      </c>
      <c r="G9" s="25">
        <v>1</v>
      </c>
      <c r="H9" s="25">
        <v>1</v>
      </c>
      <c r="I9" s="25">
        <v>1</v>
      </c>
      <c r="J9" s="25">
        <v>1</v>
      </c>
      <c r="L9" s="22" t="s">
        <v>33</v>
      </c>
      <c r="M9" s="6" t="s">
        <v>101</v>
      </c>
    </row>
    <row r="10" spans="2:13" ht="18" customHeight="1" x14ac:dyDescent="0.25">
      <c r="B10" s="23" t="str">
        <f>IF(4&gt;nC,"",INDEX(Configuracion!$C$13:$C$20,4))</f>
        <v>Funciona sin internet</v>
      </c>
      <c r="C10" s="26">
        <f>IF(4&gt;nC,"",IF(F7="","",1/F7))</f>
        <v>1</v>
      </c>
      <c r="D10" s="26">
        <f>IF(4&gt;nC,"",IF(F8="","",1/F8))</f>
        <v>1</v>
      </c>
      <c r="E10" s="26">
        <f>IF(4&gt;nC,"",IF(F9="","",1/F9))</f>
        <v>5</v>
      </c>
      <c r="F10" s="24">
        <f>IF(4&gt;nC,"",1)</f>
        <v>1</v>
      </c>
      <c r="G10" s="25">
        <v>5</v>
      </c>
      <c r="H10" s="25">
        <v>1</v>
      </c>
      <c r="I10" s="25">
        <v>1</v>
      </c>
      <c r="J10" s="25">
        <v>1</v>
      </c>
      <c r="L10" s="22" t="s">
        <v>37</v>
      </c>
      <c r="M10" s="6" t="s">
        <v>102</v>
      </c>
    </row>
    <row r="11" spans="2:13" ht="18" customHeight="1" x14ac:dyDescent="0.25">
      <c r="B11" s="23" t="str">
        <f>IF(5&gt;nC,"",INDEX(Configuracion!$C$13:$C$20,5))</f>
        <v>Seguridad</v>
      </c>
      <c r="C11" s="26">
        <f>IF(5&gt;nC,"",IF(G7="","",1/G7))</f>
        <v>1</v>
      </c>
      <c r="D11" s="26">
        <f>IF(5&gt;nC,"",IF(G8="","",1/G8))</f>
        <v>0.33333333333333331</v>
      </c>
      <c r="E11" s="26">
        <f>IF(5&gt;nC,"",IF(G9="","",1/G9))</f>
        <v>1</v>
      </c>
      <c r="F11" s="26">
        <f>IF(5&gt;nC,"",IF(G10="","",1/G10))</f>
        <v>0.2</v>
      </c>
      <c r="G11" s="24">
        <f>IF(5&gt;nC,"",1)</f>
        <v>1</v>
      </c>
      <c r="H11" s="25">
        <v>1</v>
      </c>
      <c r="I11" s="25">
        <v>1</v>
      </c>
      <c r="J11" s="25">
        <v>1</v>
      </c>
      <c r="L11" s="22" t="s">
        <v>103</v>
      </c>
      <c r="M11" s="6" t="s">
        <v>104</v>
      </c>
    </row>
    <row r="12" spans="2:13" ht="18" customHeight="1" x14ac:dyDescent="0.25">
      <c r="B12" s="23" t="str">
        <f>IF(6&gt;nC,"",INDEX(Configuracion!$C$13:$C$20,6))</f>
        <v/>
      </c>
      <c r="C12" s="26" t="str">
        <f>IF(6&gt;nC,"",IF(H7="","",1/H7))</f>
        <v/>
      </c>
      <c r="D12" s="26" t="str">
        <f>IF(6&gt;nC,"",IF(H8="","",1/H8))</f>
        <v/>
      </c>
      <c r="E12" s="26" t="str">
        <f>IF(6&gt;nC,"",IF(H9="","",1/H9))</f>
        <v/>
      </c>
      <c r="F12" s="26" t="str">
        <f>IF(6&gt;nC,"",IF(H10="","",1/H10))</f>
        <v/>
      </c>
      <c r="G12" s="26" t="str">
        <f>IF(6&gt;nC,"",IF(H11="","",1/H11))</f>
        <v/>
      </c>
      <c r="H12" s="24" t="str">
        <f>IF(6&gt;nC,"",1)</f>
        <v/>
      </c>
      <c r="I12" s="25">
        <v>1</v>
      </c>
      <c r="J12" s="25">
        <v>1</v>
      </c>
      <c r="L12" s="22" t="s">
        <v>105</v>
      </c>
      <c r="M12" s="6" t="s">
        <v>106</v>
      </c>
    </row>
    <row r="13" spans="2:13" ht="18" customHeight="1" x14ac:dyDescent="0.25">
      <c r="B13" s="23" t="str">
        <f>IF(7&gt;nC,"",INDEX(Configuracion!$C$13:$C$20,7))</f>
        <v/>
      </c>
      <c r="C13" s="26" t="str">
        <f>IF(7&gt;nC,"",IF(I7="","",1/I7))</f>
        <v/>
      </c>
      <c r="D13" s="26" t="str">
        <f>IF(7&gt;nC,"",IF(I8="","",1/I8))</f>
        <v/>
      </c>
      <c r="E13" s="26" t="str">
        <f>IF(7&gt;nC,"",IF(I9="","",1/I9))</f>
        <v/>
      </c>
      <c r="F13" s="26" t="str">
        <f>IF(7&gt;nC,"",IF(I10="","",1/I10))</f>
        <v/>
      </c>
      <c r="G13" s="26" t="str">
        <f>IF(7&gt;nC,"",IF(I11="","",1/I11))</f>
        <v/>
      </c>
      <c r="H13" s="26" t="str">
        <f>IF(7&gt;nC,"",IF(I12="","",1/I12))</f>
        <v/>
      </c>
      <c r="I13" s="24" t="str">
        <f>IF(7&gt;nC,"",1)</f>
        <v/>
      </c>
      <c r="J13" s="25">
        <v>1</v>
      </c>
      <c r="L13" s="22" t="s">
        <v>107</v>
      </c>
      <c r="M13" s="6" t="s">
        <v>108</v>
      </c>
    </row>
    <row r="14" spans="2:13" ht="18" customHeight="1" x14ac:dyDescent="0.25">
      <c r="B14" s="23" t="str">
        <f>IF(8&gt;nC,"",INDEX(Configuracion!$C$13:$C$20,8))</f>
        <v/>
      </c>
      <c r="C14" s="26" t="str">
        <f>IF(8&gt;nC,"",IF(J7="","",1/J7))</f>
        <v/>
      </c>
      <c r="D14" s="26" t="str">
        <f>IF(8&gt;nC,"",IF(J8="","",1/J8))</f>
        <v/>
      </c>
      <c r="E14" s="26" t="str">
        <f>IF(8&gt;nC,"",IF(J9="","",1/J9))</f>
        <v/>
      </c>
      <c r="F14" s="26" t="str">
        <f>IF(8&gt;nC,"",IF(J10="","",1/J10))</f>
        <v/>
      </c>
      <c r="G14" s="26" t="str">
        <f>IF(8&gt;nC,"",IF(J11="","",1/J11))</f>
        <v/>
      </c>
      <c r="H14" s="26" t="str">
        <f>IF(8&gt;nC,"",IF(J12="","",1/J12))</f>
        <v/>
      </c>
      <c r="I14" s="26" t="str">
        <f>IF(8&gt;nC,"",IF(J13="","",1/J13))</f>
        <v/>
      </c>
      <c r="J14" s="24" t="str">
        <f>IF(8&gt;nC,"",1)</f>
        <v/>
      </c>
    </row>
    <row r="15" spans="2:13" x14ac:dyDescent="0.25">
      <c r="L15" s="99" t="s">
        <v>109</v>
      </c>
      <c r="M15" s="65"/>
    </row>
    <row r="16" spans="2:13" ht="20.100000000000001" customHeight="1" x14ac:dyDescent="0.25">
      <c r="B16" s="87" t="s">
        <v>110</v>
      </c>
      <c r="C16" s="88"/>
      <c r="D16" s="88"/>
      <c r="E16" s="88"/>
      <c r="F16" s="88"/>
      <c r="G16" s="88"/>
      <c r="H16" s="88"/>
      <c r="I16" s="88"/>
      <c r="J16" s="88"/>
      <c r="L16" s="65"/>
      <c r="M16" s="65"/>
    </row>
    <row r="17" spans="2:13" x14ac:dyDescent="0.25">
      <c r="B17" s="23" t="s">
        <v>111</v>
      </c>
      <c r="C17" s="27">
        <f>IF(1&gt;nC,"",SUM(INDEX(C$7:C$14,1):INDEX(C$7:C$14,nC)))</f>
        <v>4.2</v>
      </c>
      <c r="D17" s="27">
        <f>IF(2&gt;nC,"",SUM(INDEX(D$7:D$14,1):INDEX(D$7:D$14,nC)))</f>
        <v>3.5333333333333337</v>
      </c>
      <c r="E17" s="27">
        <f>IF(3&gt;nC,"",SUM(INDEX(E$7:E$14,1):INDEX(E$7:E$14,nC)))</f>
        <v>17</v>
      </c>
      <c r="F17" s="27">
        <f>IF(4&gt;nC,"",SUM(INDEX(F$7:F$14,1):INDEX(F$7:F$14,nC)))</f>
        <v>3.4000000000000004</v>
      </c>
      <c r="G17" s="27">
        <f>IF(5&gt;nC,"",SUM(INDEX(G$7:G$14,1):INDEX(G$7:G$14,nC)))</f>
        <v>11</v>
      </c>
      <c r="H17" s="27" t="str">
        <f>IF(6&gt;nC,"",SUM(INDEX(H$7:H$14,1):INDEX(H$7:H$14,nC)))</f>
        <v/>
      </c>
      <c r="I17" s="27" t="str">
        <f>IF(7&gt;nC,"",SUM(INDEX(I$7:I$14,1):INDEX(I$7:I$14,nC)))</f>
        <v/>
      </c>
      <c r="J17" s="27" t="str">
        <f>IF(8&gt;nC,"",SUM(INDEX(J$7:J$14,1):INDEX(J$7:J$14,nC)))</f>
        <v/>
      </c>
      <c r="L17" s="65"/>
      <c r="M17" s="65"/>
    </row>
    <row r="19" spans="2:13" ht="20.100000000000001" customHeight="1" x14ac:dyDescent="0.25">
      <c r="B19" s="87" t="s">
        <v>112</v>
      </c>
      <c r="C19" s="88"/>
      <c r="D19" s="88"/>
      <c r="E19" s="88"/>
      <c r="F19" s="88"/>
      <c r="G19" s="88"/>
      <c r="H19" s="88"/>
      <c r="I19" s="88"/>
      <c r="J19" s="88"/>
    </row>
    <row r="20" spans="2:13" ht="32.1" customHeight="1" x14ac:dyDescent="0.25">
      <c r="B20" s="21" t="s">
        <v>97</v>
      </c>
      <c r="C20" s="21" t="str">
        <f>IF(1&gt;nC,"",INDEX(Configuracion!$C$13:$C$20,1))</f>
        <v xml:space="preserve">Costo total </v>
      </c>
      <c r="D20" s="21" t="str">
        <f>IF(2&gt;nC,"",INDEX(Configuracion!$C$13:$C$20,2))</f>
        <v>Tiempo de entrega</v>
      </c>
      <c r="E20" s="21" t="str">
        <f>IF(3&gt;nC,"",INDEX(Configuracion!$C$13:$C$20,3))</f>
        <v xml:space="preserve">Experiencia de usario </v>
      </c>
      <c r="F20" s="21" t="str">
        <f>IF(4&gt;nC,"",INDEX(Configuracion!$C$13:$C$20,4))</f>
        <v>Funciona sin internet</v>
      </c>
      <c r="G20" s="21" t="str">
        <f>IF(5&gt;nC,"",INDEX(Configuracion!$C$13:$C$20,5))</f>
        <v>Seguridad</v>
      </c>
      <c r="H20" s="21" t="str">
        <f>IF(6&gt;nC,"",INDEX(Configuracion!$C$13:$C$20,6))</f>
        <v/>
      </c>
      <c r="I20" s="21" t="str">
        <f>IF(7&gt;nC,"",INDEX(Configuracion!$C$13:$C$20,7))</f>
        <v/>
      </c>
      <c r="J20" s="21" t="str">
        <f>IF(8&gt;nC,"",INDEX(Configuracion!$C$13:$C$20,8))</f>
        <v/>
      </c>
    </row>
    <row r="21" spans="2:13" ht="18" customHeight="1" x14ac:dyDescent="0.25">
      <c r="B21" s="23" t="str">
        <f>IF(1&gt;nC,"",INDEX(Configuracion!$C$13:$C$20,1))</f>
        <v xml:space="preserve">Costo total </v>
      </c>
      <c r="C21" s="28">
        <f>IF(OR(1&gt;nC,1&gt;nC),"",C7/C$17)</f>
        <v>0.23809523809523808</v>
      </c>
      <c r="D21" s="28">
        <f>IF(OR(1&gt;nC,2&gt;nC),"",D7/D$17)</f>
        <v>0.28301886792452829</v>
      </c>
      <c r="E21" s="28">
        <f>IF(OR(1&gt;nC,3&gt;nC),"",E7/E$17)</f>
        <v>0.29411764705882354</v>
      </c>
      <c r="F21" s="28">
        <f>IF(OR(1&gt;nC,4&gt;nC),"",F7/F$17)</f>
        <v>0.29411764705882348</v>
      </c>
      <c r="G21" s="28">
        <f>IF(OR(1&gt;nC,5&gt;nC),"",G7/G$17)</f>
        <v>9.0909090909090912E-2</v>
      </c>
      <c r="H21" s="28" t="str">
        <f>IF(OR(1&gt;nC,6&gt;nC),"",H7/H$17)</f>
        <v/>
      </c>
      <c r="I21" s="28" t="str">
        <f>IF(OR(1&gt;nC,7&gt;nC),"",I7/I$17)</f>
        <v/>
      </c>
      <c r="J21" s="28" t="str">
        <f>IF(OR(1&gt;nC,8&gt;nC),"",J7/J$17)</f>
        <v/>
      </c>
    </row>
    <row r="22" spans="2:13" ht="18" customHeight="1" x14ac:dyDescent="0.25">
      <c r="B22" s="23" t="str">
        <f>IF(2&gt;nC,"",INDEX(Configuracion!$C$13:$C$20,2))</f>
        <v>Tiempo de entrega</v>
      </c>
      <c r="C22" s="28">
        <f>IF(OR(2&gt;nC,1&gt;nC),"",C8/C$17)</f>
        <v>0.23809523809523808</v>
      </c>
      <c r="D22" s="28">
        <f>IF(OR(2&gt;nC,2&gt;nC),"",D8/D$17)</f>
        <v>0.28301886792452829</v>
      </c>
      <c r="E22" s="28">
        <f>IF(OR(2&gt;nC,3&gt;nC),"",E8/E$17)</f>
        <v>0.29411764705882354</v>
      </c>
      <c r="F22" s="28">
        <f>IF(OR(2&gt;nC,4&gt;nC),"",F8/F$17)</f>
        <v>0.29411764705882348</v>
      </c>
      <c r="G22" s="28">
        <f>IF(OR(2&gt;nC,5&gt;nC),"",G8/G$17)</f>
        <v>0.27272727272727271</v>
      </c>
      <c r="H22" s="28" t="str">
        <f>IF(OR(2&gt;nC,6&gt;nC),"",H8/H$17)</f>
        <v/>
      </c>
      <c r="I22" s="28" t="str">
        <f>IF(OR(2&gt;nC,7&gt;nC),"",I8/I$17)</f>
        <v/>
      </c>
      <c r="J22" s="28" t="str">
        <f>IF(OR(2&gt;nC,8&gt;nC),"",J8/J$17)</f>
        <v/>
      </c>
    </row>
    <row r="23" spans="2:13" ht="18" customHeight="1" x14ac:dyDescent="0.25">
      <c r="B23" s="23" t="str">
        <f>IF(3&gt;nC,"",INDEX(Configuracion!$C$13:$C$20,3))</f>
        <v xml:space="preserve">Experiencia de usario </v>
      </c>
      <c r="C23" s="28">
        <f>IF(OR(3&gt;nC,1&gt;nC),"",C9/C$17)</f>
        <v>4.7619047619047616E-2</v>
      </c>
      <c r="D23" s="28">
        <f>IF(OR(3&gt;nC,2&gt;nC),"",D9/D$17)</f>
        <v>5.6603773584905662E-2</v>
      </c>
      <c r="E23" s="28">
        <f>IF(OR(3&gt;nC,3&gt;nC),"",E9/E$17)</f>
        <v>5.8823529411764705E-2</v>
      </c>
      <c r="F23" s="28">
        <f>IF(OR(3&gt;nC,4&gt;nC),"",F9/F$17)</f>
        <v>5.8823529411764705E-2</v>
      </c>
      <c r="G23" s="28">
        <f>IF(OR(3&gt;nC,5&gt;nC),"",G9/G$17)</f>
        <v>9.0909090909090912E-2</v>
      </c>
      <c r="H23" s="28" t="str">
        <f>IF(OR(3&gt;nC,6&gt;nC),"",H9/H$17)</f>
        <v/>
      </c>
      <c r="I23" s="28" t="str">
        <f>IF(OR(3&gt;nC,7&gt;nC),"",I9/I$17)</f>
        <v/>
      </c>
      <c r="J23" s="28" t="str">
        <f>IF(OR(3&gt;nC,8&gt;nC),"",J9/J$17)</f>
        <v/>
      </c>
    </row>
    <row r="24" spans="2:13" ht="18" customHeight="1" x14ac:dyDescent="0.25">
      <c r="B24" s="23" t="str">
        <f>IF(4&gt;nC,"",INDEX(Configuracion!$C$13:$C$20,4))</f>
        <v>Funciona sin internet</v>
      </c>
      <c r="C24" s="28">
        <f>IF(OR(4&gt;nC,1&gt;nC),"",C10/C$17)</f>
        <v>0.23809523809523808</v>
      </c>
      <c r="D24" s="28">
        <f>IF(OR(4&gt;nC,2&gt;nC),"",D10/D$17)</f>
        <v>0.28301886792452829</v>
      </c>
      <c r="E24" s="28">
        <f>IF(OR(4&gt;nC,3&gt;nC),"",E10/E$17)</f>
        <v>0.29411764705882354</v>
      </c>
      <c r="F24" s="28">
        <f>IF(OR(4&gt;nC,4&gt;nC),"",F10/F$17)</f>
        <v>0.29411764705882348</v>
      </c>
      <c r="G24" s="28">
        <f>IF(OR(4&gt;nC,5&gt;nC),"",G10/G$17)</f>
        <v>0.45454545454545453</v>
      </c>
      <c r="H24" s="28" t="str">
        <f>IF(OR(4&gt;nC,6&gt;nC),"",H10/H$17)</f>
        <v/>
      </c>
      <c r="I24" s="28" t="str">
        <f>IF(OR(4&gt;nC,7&gt;nC),"",I10/I$17)</f>
        <v/>
      </c>
      <c r="J24" s="28" t="str">
        <f>IF(OR(4&gt;nC,8&gt;nC),"",J10/J$17)</f>
        <v/>
      </c>
    </row>
    <row r="25" spans="2:13" ht="18" customHeight="1" x14ac:dyDescent="0.25">
      <c r="B25" s="23" t="str">
        <f>IF(5&gt;nC,"",INDEX(Configuracion!$C$13:$C$20,5))</f>
        <v>Seguridad</v>
      </c>
      <c r="C25" s="28">
        <f>IF(OR(5&gt;nC,1&gt;nC),"",C11/C$17)</f>
        <v>0.23809523809523808</v>
      </c>
      <c r="D25" s="28">
        <f>IF(OR(5&gt;nC,2&gt;nC),"",D11/D$17)</f>
        <v>9.4339622641509427E-2</v>
      </c>
      <c r="E25" s="28">
        <f>IF(OR(5&gt;nC,3&gt;nC),"",E11/E$17)</f>
        <v>5.8823529411764705E-2</v>
      </c>
      <c r="F25" s="28">
        <f>IF(OR(5&gt;nC,4&gt;nC),"",F11/F$17)</f>
        <v>5.8823529411764705E-2</v>
      </c>
      <c r="G25" s="28">
        <f>IF(OR(5&gt;nC,5&gt;nC),"",G11/G$17)</f>
        <v>9.0909090909090912E-2</v>
      </c>
      <c r="H25" s="28" t="str">
        <f>IF(OR(5&gt;nC,6&gt;nC),"",H11/H$17)</f>
        <v/>
      </c>
      <c r="I25" s="28" t="str">
        <f>IF(OR(5&gt;nC,7&gt;nC),"",I11/I$17)</f>
        <v/>
      </c>
      <c r="J25" s="28" t="str">
        <f>IF(OR(5&gt;nC,8&gt;nC),"",J11/J$17)</f>
        <v/>
      </c>
    </row>
    <row r="26" spans="2:13" ht="18" customHeight="1" x14ac:dyDescent="0.25">
      <c r="B26" s="23" t="str">
        <f>IF(6&gt;nC,"",INDEX(Configuracion!$C$13:$C$20,6))</f>
        <v/>
      </c>
      <c r="C26" s="28" t="str">
        <f>IF(OR(6&gt;nC,1&gt;nC),"",C12/C$17)</f>
        <v/>
      </c>
      <c r="D26" s="28" t="str">
        <f>IF(OR(6&gt;nC,2&gt;nC),"",D12/D$17)</f>
        <v/>
      </c>
      <c r="E26" s="28" t="str">
        <f>IF(OR(6&gt;nC,3&gt;nC),"",E12/E$17)</f>
        <v/>
      </c>
      <c r="F26" s="28" t="str">
        <f>IF(OR(6&gt;nC,4&gt;nC),"",F12/F$17)</f>
        <v/>
      </c>
      <c r="G26" s="28" t="str">
        <f>IF(OR(6&gt;nC,5&gt;nC),"",G12/G$17)</f>
        <v/>
      </c>
      <c r="H26" s="28" t="str">
        <f>IF(OR(6&gt;nC,6&gt;nC),"",H12/H$17)</f>
        <v/>
      </c>
      <c r="I26" s="28" t="str">
        <f>IF(OR(6&gt;nC,7&gt;nC),"",I12/I$17)</f>
        <v/>
      </c>
      <c r="J26" s="28" t="str">
        <f>IF(OR(6&gt;nC,8&gt;nC),"",J12/J$17)</f>
        <v/>
      </c>
    </row>
    <row r="27" spans="2:13" ht="18" customHeight="1" x14ac:dyDescent="0.25">
      <c r="B27" s="23" t="str">
        <f>IF(7&gt;nC,"",INDEX(Configuracion!$C$13:$C$20,7))</f>
        <v/>
      </c>
      <c r="C27" s="28" t="str">
        <f>IF(OR(7&gt;nC,1&gt;nC),"",C13/C$17)</f>
        <v/>
      </c>
      <c r="D27" s="28" t="str">
        <f>IF(OR(7&gt;nC,2&gt;nC),"",D13/D$17)</f>
        <v/>
      </c>
      <c r="E27" s="28" t="str">
        <f>IF(OR(7&gt;nC,3&gt;nC),"",E13/E$17)</f>
        <v/>
      </c>
      <c r="F27" s="28" t="str">
        <f>IF(OR(7&gt;nC,4&gt;nC),"",F13/F$17)</f>
        <v/>
      </c>
      <c r="G27" s="28" t="str">
        <f>IF(OR(7&gt;nC,5&gt;nC),"",G13/G$17)</f>
        <v/>
      </c>
      <c r="H27" s="28" t="str">
        <f>IF(OR(7&gt;nC,6&gt;nC),"",H13/H$17)</f>
        <v/>
      </c>
      <c r="I27" s="28" t="str">
        <f>IF(OR(7&gt;nC,7&gt;nC),"",I13/I$17)</f>
        <v/>
      </c>
      <c r="J27" s="28" t="str">
        <f>IF(OR(7&gt;nC,8&gt;nC),"",J13/J$17)</f>
        <v/>
      </c>
    </row>
    <row r="28" spans="2:13" ht="18" customHeight="1" x14ac:dyDescent="0.25">
      <c r="B28" s="23" t="str">
        <f>IF(8&gt;nC,"",INDEX(Configuracion!$C$13:$C$20,8))</f>
        <v/>
      </c>
      <c r="C28" s="28" t="str">
        <f>IF(OR(8&gt;nC,1&gt;nC),"",C14/C$17)</f>
        <v/>
      </c>
      <c r="D28" s="28" t="str">
        <f>IF(OR(8&gt;nC,2&gt;nC),"",D14/D$17)</f>
        <v/>
      </c>
      <c r="E28" s="28" t="str">
        <f>IF(OR(8&gt;nC,3&gt;nC),"",E14/E$17)</f>
        <v/>
      </c>
      <c r="F28" s="28" t="str">
        <f>IF(OR(8&gt;nC,4&gt;nC),"",F14/F$17)</f>
        <v/>
      </c>
      <c r="G28" s="28" t="str">
        <f>IF(OR(8&gt;nC,5&gt;nC),"",G14/G$17)</f>
        <v/>
      </c>
      <c r="H28" s="28" t="str">
        <f>IF(OR(8&gt;nC,6&gt;nC),"",H14/H$17)</f>
        <v/>
      </c>
      <c r="I28" s="28" t="str">
        <f>IF(OR(8&gt;nC,7&gt;nC),"",I14/I$17)</f>
        <v/>
      </c>
      <c r="J28" s="28" t="str">
        <f>IF(OR(8&gt;nC,8&gt;nC),"",J14/J$17)</f>
        <v/>
      </c>
    </row>
    <row r="30" spans="2:13" ht="20.100000000000001" customHeight="1" x14ac:dyDescent="0.25">
      <c r="B30" s="87" t="s">
        <v>113</v>
      </c>
      <c r="C30" s="88"/>
      <c r="D30" s="88"/>
      <c r="E30" s="88"/>
      <c r="F30" s="88"/>
      <c r="G30" s="88"/>
      <c r="H30" s="88"/>
      <c r="I30" s="88"/>
      <c r="J30" s="88"/>
    </row>
    <row r="31" spans="2:13" x14ac:dyDescent="0.25">
      <c r="B31" s="3" t="s">
        <v>114</v>
      </c>
      <c r="C31" s="3" t="s">
        <v>115</v>
      </c>
      <c r="D31" s="3" t="s">
        <v>116</v>
      </c>
      <c r="E31" s="100" t="s">
        <v>117</v>
      </c>
      <c r="F31" s="101"/>
      <c r="G31" s="101"/>
      <c r="H31" s="101"/>
      <c r="I31" s="101"/>
      <c r="J31" s="101"/>
    </row>
    <row r="32" spans="2:13" ht="18" customHeight="1" x14ac:dyDescent="0.25">
      <c r="B32" s="23" t="str">
        <f>IF(1&gt;nC,"",INDEX(Configuracion!$C$13:$C$20,1))</f>
        <v xml:space="preserve">Costo total </v>
      </c>
      <c r="C32" s="29">
        <f>IF(1&gt;nC,"",AVERAGE(INDEX($C21:$J21,1):INDEX($C21:$J21,nC)))</f>
        <v>0.24005169820930083</v>
      </c>
      <c r="D32" s="30">
        <f>IF(1&gt;nC,"",C32)</f>
        <v>0.24005169820930083</v>
      </c>
      <c r="E32" s="98" t="str">
        <f>IF(1&gt;nC,"","De cada 100 puntos de importancia, este se lleva "&amp;TEXT(C32*100,"0,0")&amp;".")</f>
        <v>De cada 100 puntos de importancia, este se lleva 24.</v>
      </c>
      <c r="F32" s="63"/>
      <c r="G32" s="63"/>
      <c r="H32" s="63"/>
      <c r="I32" s="63"/>
      <c r="J32" s="63"/>
    </row>
    <row r="33" spans="2:10" ht="18" customHeight="1" x14ac:dyDescent="0.25">
      <c r="B33" s="23" t="str">
        <f>IF(2&gt;nC,"",INDEX(Configuracion!$C$13:$C$20,2))</f>
        <v>Tiempo de entrega</v>
      </c>
      <c r="C33" s="29">
        <f>IF(2&gt;nC,"",AVERAGE(INDEX($C22:$J22,1):INDEX($C22:$J22,nC)))</f>
        <v>0.27641533457293721</v>
      </c>
      <c r="D33" s="30">
        <f>IF(2&gt;nC,"",C33)</f>
        <v>0.27641533457293721</v>
      </c>
      <c r="E33" s="98" t="str">
        <f>IF(2&gt;nC,"","De cada 100 puntos de importancia, este se lleva "&amp;TEXT(C33*100,"0,0")&amp;".")</f>
        <v>De cada 100 puntos de importancia, este se lleva 28.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IF(3&gt;nC,"",INDEX(Configuracion!$C$13:$C$20,3))</f>
        <v xml:space="preserve">Experiencia de usario </v>
      </c>
      <c r="C34" s="29">
        <f>IF(3&gt;nC,"",AVERAGE(INDEX($C23:$J23,1):INDEX($C23:$J23,nC)))</f>
        <v>6.2555794187314717E-2</v>
      </c>
      <c r="D34" s="30">
        <f>IF(3&gt;nC,"",C34)</f>
        <v>6.2555794187314717E-2</v>
      </c>
      <c r="E34" s="98" t="str">
        <f>IF(3&gt;nC,"","De cada 100 puntos de importancia, este se lleva "&amp;TEXT(C34*100,"0,0")&amp;".")</f>
        <v>De cada 100 puntos de importancia, este se lleva 06.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IF(4&gt;nC,"",INDEX(Configuracion!$C$13:$C$20,4))</f>
        <v>Funciona sin internet</v>
      </c>
      <c r="C35" s="29">
        <f>IF(4&gt;nC,"",AVERAGE(INDEX($C24:$J24,1):INDEX($C24:$J24,nC)))</f>
        <v>0.31277897093657359</v>
      </c>
      <c r="D35" s="30">
        <f>IF(4&gt;nC,"",C35)</f>
        <v>0.31277897093657359</v>
      </c>
      <c r="E35" s="98" t="str">
        <f>IF(4&gt;nC,"","De cada 100 puntos de importancia, este se lleva "&amp;TEXT(C35*100,"0,0")&amp;".")</f>
        <v>De cada 100 puntos de importancia, este se lleva 31.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IF(5&gt;nC,"",INDEX(Configuracion!$C$13:$C$20,5))</f>
        <v>Seguridad</v>
      </c>
      <c r="C36" s="29">
        <f>IF(5&gt;nC,"",AVERAGE(INDEX($C25:$J25,1):INDEX($C25:$J25,nC)))</f>
        <v>0.10819820209387357</v>
      </c>
      <c r="D36" s="30">
        <f>IF(5&gt;nC,"",C36)</f>
        <v>0.10819820209387357</v>
      </c>
      <c r="E36" s="98" t="str">
        <f>IF(5&gt;nC,"","De cada 100 puntos de importancia, este se lleva "&amp;TEXT(C36*100,"0,0")&amp;".")</f>
        <v>De cada 100 puntos de importancia, este se lleva 11.</v>
      </c>
      <c r="F36" s="63"/>
      <c r="G36" s="63"/>
      <c r="H36" s="63"/>
      <c r="I36" s="63"/>
      <c r="J36" s="63"/>
    </row>
    <row r="37" spans="2:10" ht="18" customHeight="1" x14ac:dyDescent="0.25">
      <c r="B37" s="23" t="str">
        <f>IF(6&gt;nC,"",INDEX(Configuracion!$C$13:$C$20,6))</f>
        <v/>
      </c>
      <c r="C37" s="29" t="str">
        <f>IF(6&gt;nC,"",AVERAGE(INDEX($C26:$J26,1):INDEX($C26:$J26,nC)))</f>
        <v/>
      </c>
      <c r="D37" s="30" t="str">
        <f>IF(6&gt;nC,"",C37)</f>
        <v/>
      </c>
      <c r="E37" s="98" t="str">
        <f>IF(6&gt;nC,"","De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IF(7&gt;nC,"",INDEX(Configuracion!$C$13:$C$20,7))</f>
        <v/>
      </c>
      <c r="C38" s="29" t="str">
        <f>IF(7&gt;nC,"",AVERAGE(INDEX($C27:$J27,1):INDEX($C27:$J27,nC)))</f>
        <v/>
      </c>
      <c r="D38" s="30" t="str">
        <f>IF(7&gt;nC,"",C38)</f>
        <v/>
      </c>
      <c r="E38" s="98" t="str">
        <f>IF(7&gt;nC,"","De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IF(8&gt;nC,"",INDEX(Configuracion!$C$13:$C$20,8))</f>
        <v/>
      </c>
      <c r="C39" s="29" t="str">
        <f>IF(8&gt;nC,"",AVERAGE(INDEX($C28:$J28,1):INDEX($C28:$J28,nC)))</f>
        <v/>
      </c>
      <c r="D39" s="30" t="str">
        <f>IF(8&gt;nC,"",C39)</f>
        <v/>
      </c>
      <c r="E39" s="98" t="str">
        <f>IF(8&gt;nC,"","De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x14ac:dyDescent="0.25">
      <c r="B40" s="31" t="s">
        <v>118</v>
      </c>
      <c r="C40" s="32">
        <f>SUM(INDEX($C$32:$C$39,1):INDEX($C$32:$C$39,nC))</f>
        <v>0.99999999999999989</v>
      </c>
    </row>
    <row r="42" spans="2:10" x14ac:dyDescent="0.25">
      <c r="B42" s="33" t="s">
        <v>119</v>
      </c>
      <c r="C42" s="34">
        <f>IF(1&gt;nC,"",$C$32)</f>
        <v>0.24005169820930083</v>
      </c>
      <c r="D42" s="34">
        <f>IF(2&gt;nC,"",$C$33)</f>
        <v>0.27641533457293721</v>
      </c>
      <c r="E42" s="34">
        <f>IF(3&gt;nC,"",$C$34)</f>
        <v>6.2555794187314717E-2</v>
      </c>
      <c r="F42" s="34">
        <f>IF(4&gt;nC,"",$C$35)</f>
        <v>0.31277897093657359</v>
      </c>
      <c r="G42" s="34">
        <f>IF(5&gt;nC,"",$C$36)</f>
        <v>0.10819820209387357</v>
      </c>
      <c r="H42" s="34" t="str">
        <f>IF(6&gt;nC,"",$C$37)</f>
        <v/>
      </c>
      <c r="I42" s="34" t="str">
        <f>IF(7&gt;nC,"",$C$38)</f>
        <v/>
      </c>
      <c r="J42" s="34" t="str">
        <f>IF(8&gt;nC,"",$C$39)</f>
        <v/>
      </c>
    </row>
    <row r="44" spans="2:10" ht="20.100000000000001" customHeight="1" x14ac:dyDescent="0.25">
      <c r="B44" s="87" t="s">
        <v>120</v>
      </c>
      <c r="C44" s="88"/>
      <c r="D44" s="88"/>
      <c r="E44" s="88"/>
      <c r="F44" s="88"/>
      <c r="G44" s="88"/>
      <c r="H44" s="88"/>
      <c r="I44" s="88"/>
      <c r="J44" s="88"/>
    </row>
    <row r="45" spans="2:10" ht="27.95" customHeight="1" x14ac:dyDescent="0.25">
      <c r="B45" s="35" t="s">
        <v>114</v>
      </c>
      <c r="C45" s="35" t="s">
        <v>121</v>
      </c>
      <c r="D45" s="35" t="s">
        <v>115</v>
      </c>
      <c r="E45" s="35" t="s">
        <v>122</v>
      </c>
    </row>
    <row r="46" spans="2:10" ht="18" customHeight="1" x14ac:dyDescent="0.25">
      <c r="B46" s="23" t="str">
        <f>IF(1&gt;nC,"",INDEX(Configuracion!$C$13:$C$20,1))</f>
        <v xml:space="preserve">Costo total </v>
      </c>
      <c r="C46" s="28">
        <f>IF(1&gt;nC,"",SUMPRODUCT(INDEX($C7:$J7,1):INDEX($C7:$J7,nC),INDEX($C$42:$J$42,1):INDEX($C$42:$J$42,nC)))</f>
        <v>1.2502231767492589</v>
      </c>
      <c r="D46" s="28">
        <f>IF(1&gt;nC,"",$C$32)</f>
        <v>0.24005169820930083</v>
      </c>
      <c r="E46" s="36">
        <f>IF(1&gt;nC,"",C46/D46)</f>
        <v>5.2081413548642779</v>
      </c>
    </row>
    <row r="47" spans="2:10" ht="18" customHeight="1" x14ac:dyDescent="0.25">
      <c r="B47" s="23" t="str">
        <f>IF(2&gt;nC,"",INDEX(Configuracion!$C$13:$C$20,2))</f>
        <v>Tiempo de entrega</v>
      </c>
      <c r="C47" s="28">
        <f>IF(2&gt;nC,"",SUMPRODUCT(INDEX($C8:$J8,1):INDEX($C8:$J8,nC),INDEX($C$42:$J$42,1):INDEX($C$42:$J$42,nC)))</f>
        <v>1.466619580937006</v>
      </c>
      <c r="D47" s="28">
        <f>IF(2&gt;nC,"",$C$33)</f>
        <v>0.27641533457293721</v>
      </c>
      <c r="E47" s="36">
        <f>IF(2&gt;nC,"",C47/D47)</f>
        <v>5.3058546234525625</v>
      </c>
    </row>
    <row r="48" spans="2:10" ht="18" customHeight="1" x14ac:dyDescent="0.25">
      <c r="B48" s="23" t="str">
        <f>IF(3&gt;nC,"",INDEX(Configuracion!$C$13:$C$20,3))</f>
        <v xml:space="preserve">Experiencia de usario </v>
      </c>
      <c r="C48" s="28">
        <f>IF(3&gt;nC,"",SUMPRODUCT(INDEX($C9:$J9,1):INDEX($C9:$J9,nC),INDEX($C$42:$J$42,1):INDEX($C$42:$J$42,nC)))</f>
        <v>0.33660319702495062</v>
      </c>
      <c r="D48" s="28">
        <f>IF(3&gt;nC,"",$C$34)</f>
        <v>6.2555794187314717E-2</v>
      </c>
      <c r="E48" s="36">
        <f>IF(3&gt;nC,"",C48/D48)</f>
        <v>5.3808476320680807</v>
      </c>
    </row>
    <row r="49" spans="2:10" ht="18" customHeight="1" x14ac:dyDescent="0.25">
      <c r="B49" s="23" t="str">
        <f>IF(4&gt;nC,"",INDEX(Configuracion!$C$13:$C$20,4))</f>
        <v>Funciona sin internet</v>
      </c>
      <c r="C49" s="28">
        <f>IF(4&gt;nC,"",SUMPRODUCT(INDEX($C10:$J10,1):INDEX($C10:$J10,nC),INDEX($C$42:$J$42,1):INDEX($C$42:$J$42,nC)))</f>
        <v>1.683015985124753</v>
      </c>
      <c r="D49" s="28">
        <f>IF(4&gt;nC,"",$C$35)</f>
        <v>0.31277897093657359</v>
      </c>
      <c r="E49" s="36">
        <f>IF(4&gt;nC,"",C49/D49)</f>
        <v>5.3808476320680807</v>
      </c>
    </row>
    <row r="50" spans="2:10" ht="18" customHeight="1" x14ac:dyDescent="0.25">
      <c r="B50" s="23" t="str">
        <f>IF(5&gt;nC,"",INDEX(Configuracion!$C$13:$C$20,5))</f>
        <v>Seguridad</v>
      </c>
      <c r="C50" s="28">
        <f>IF(5&gt;nC,"",SUMPRODUCT(INDEX($C11:$J11,1):INDEX($C11:$J11,nC),INDEX($C$42:$J$42,1):INDEX($C$42:$J$42,nC)))</f>
        <v>0.56549993353544958</v>
      </c>
      <c r="D50" s="28">
        <f>IF(5&gt;nC,"",$C$36)</f>
        <v>0.10819820209387357</v>
      </c>
      <c r="E50" s="36">
        <f>IF(5&gt;nC,"",C50/D50)</f>
        <v>5.2265187645615185</v>
      </c>
    </row>
    <row r="51" spans="2:10" ht="18" customHeight="1" x14ac:dyDescent="0.25">
      <c r="B51" s="23" t="str">
        <f>IF(6&gt;nC,"",INDEX(Configuracion!$C$13:$C$20,6))</f>
        <v/>
      </c>
      <c r="C51" s="28" t="str">
        <f>IF(6&gt;nC,"",SUMPRODUCT(INDEX($C12:$J12,1):INDEX($C12:$J12,nC),INDEX($C$42:$J$42,1):INDEX($C$42:$J$42,nC)))</f>
        <v/>
      </c>
      <c r="D51" s="28" t="str">
        <f>IF(6&gt;nC,"",$C$37)</f>
        <v/>
      </c>
      <c r="E51" s="36" t="str">
        <f>IF(6&gt;nC,"",C51/D51)</f>
        <v/>
      </c>
    </row>
    <row r="52" spans="2:10" ht="18" customHeight="1" x14ac:dyDescent="0.25">
      <c r="B52" s="23" t="str">
        <f>IF(7&gt;nC,"",INDEX(Configuracion!$C$13:$C$20,7))</f>
        <v/>
      </c>
      <c r="C52" s="28" t="str">
        <f>IF(7&gt;nC,"",SUMPRODUCT(INDEX($C13:$J13,1):INDEX($C13:$J13,nC),INDEX($C$42:$J$42,1):INDEX($C$42:$J$42,nC)))</f>
        <v/>
      </c>
      <c r="D52" s="28" t="str">
        <f>IF(7&gt;nC,"",$C$38)</f>
        <v/>
      </c>
      <c r="E52" s="36" t="str">
        <f>IF(7&gt;nC,"",C52/D52)</f>
        <v/>
      </c>
    </row>
    <row r="53" spans="2:10" ht="18" customHeight="1" x14ac:dyDescent="0.25">
      <c r="B53" s="23" t="str">
        <f>IF(8&gt;nC,"",INDEX(Configuracion!$C$13:$C$20,8))</f>
        <v/>
      </c>
      <c r="C53" s="28" t="str">
        <f>IF(8&gt;nC,"",SUMPRODUCT(INDEX($C14:$J14,1):INDEX($C14:$J14,nC),INDEX($C$42:$J$42,1):INDEX($C$42:$J$42,nC)))</f>
        <v/>
      </c>
      <c r="D53" s="28" t="str">
        <f>IF(8&gt;nC,"",$C$39)</f>
        <v/>
      </c>
      <c r="E53" s="36" t="str">
        <f>IF(8&gt;nC,"",C53/D53)</f>
        <v/>
      </c>
    </row>
    <row r="55" spans="2:10" ht="20.100000000000001" customHeight="1" x14ac:dyDescent="0.25">
      <c r="B55" s="85" t="s">
        <v>123</v>
      </c>
      <c r="C55" s="86"/>
      <c r="D55" s="86"/>
      <c r="E55" s="86"/>
      <c r="F55" s="86"/>
      <c r="G55" s="86"/>
      <c r="H55" s="86"/>
      <c r="I55" s="86"/>
      <c r="J55" s="86"/>
    </row>
    <row r="56" spans="2:10" x14ac:dyDescent="0.25">
      <c r="B56" s="37" t="s">
        <v>124</v>
      </c>
      <c r="C56" s="38">
        <f>AVERAGE(INDEX($E$46:$E$53,1):INDEX($E$46:$E$53,nC))</f>
        <v>5.3004420014029039</v>
      </c>
    </row>
    <row r="57" spans="2:10" x14ac:dyDescent="0.25">
      <c r="B57" s="37" t="s">
        <v>125</v>
      </c>
      <c r="C57" s="39">
        <f>nC</f>
        <v>5</v>
      </c>
    </row>
    <row r="58" spans="2:10" x14ac:dyDescent="0.25">
      <c r="B58" s="37" t="s">
        <v>126</v>
      </c>
      <c r="C58" s="38">
        <f>IF(nC&lt;2,0,(C56-C57)/(C57-1))</f>
        <v>7.5110500350725973E-2</v>
      </c>
    </row>
    <row r="59" spans="2:10" x14ac:dyDescent="0.25">
      <c r="B59" s="37" t="s">
        <v>127</v>
      </c>
      <c r="C59" s="40">
        <f>INDEX(RI_tabla,nC)</f>
        <v>1.1200000000000001</v>
      </c>
    </row>
    <row r="60" spans="2:10" ht="15.75" x14ac:dyDescent="0.25">
      <c r="B60" s="41" t="s">
        <v>128</v>
      </c>
      <c r="C60" s="42">
        <f>IF(nC&lt;3,0,IF(C59=0,0,C58/C59))</f>
        <v>6.7062946741719615E-2</v>
      </c>
    </row>
    <row r="61" spans="2:10" ht="26.1" customHeight="1" x14ac:dyDescent="0.25">
      <c r="B61" s="43" t="s">
        <v>129</v>
      </c>
      <c r="C61" s="44">
        <f>C60</f>
        <v>6.7062946741719615E-2</v>
      </c>
      <c r="D61" s="97" t="str">
        <f>IF(C60&lt;=0.1,"ACEPTABLE  ·  puedes seguir",IF(C60&lt;=0.2,"DUDOSO  ·  revisa las comparaciones mas extremas","RECHAZADO  ·  hay que reevaluar esta matriz"))</f>
        <v>ACEPTABLE  ·  puedes seguir</v>
      </c>
      <c r="E61" s="63"/>
      <c r="F61" s="63"/>
      <c r="G61" s="63"/>
      <c r="H61" s="63"/>
      <c r="I61" s="63"/>
      <c r="J61" s="63"/>
    </row>
    <row r="63" spans="2:10" ht="30" customHeight="1" x14ac:dyDescent="0.25">
      <c r="B63" s="64" t="str">
        <f>IF(C60&lt;=0.1,"Tus juicios son coherentes. Los pesos del PASO 4 se pueden usar.","Busca en la matriz del PASO 1 el numero mas extremo (un 7 o un 9) y preguntate si de verdad es para tanto. Bajalo un escalon y vuelve a mirar el CR.")</f>
        <v>Tus juicios son coherentes. Los pesos del PASO 4 se pueden usar.</v>
      </c>
      <c r="C63" s="65"/>
      <c r="D63" s="65"/>
      <c r="E63" s="65"/>
      <c r="F63" s="65"/>
      <c r="G63" s="65"/>
      <c r="H63" s="65"/>
      <c r="I63" s="65"/>
      <c r="J63" s="65"/>
    </row>
  </sheetData>
  <mergeCells count="20">
    <mergeCell ref="L15:M17"/>
    <mergeCell ref="E37:J37"/>
    <mergeCell ref="E31:J31"/>
    <mergeCell ref="E34:J34"/>
    <mergeCell ref="B44:J44"/>
    <mergeCell ref="B19:J19"/>
    <mergeCell ref="E36:J36"/>
    <mergeCell ref="B2:J2"/>
    <mergeCell ref="B63:J63"/>
    <mergeCell ref="B16:J16"/>
    <mergeCell ref="D61:J61"/>
    <mergeCell ref="E33:J33"/>
    <mergeCell ref="B3:J3"/>
    <mergeCell ref="E39:J39"/>
    <mergeCell ref="E35:J35"/>
    <mergeCell ref="E38:J38"/>
    <mergeCell ref="B55:J55"/>
    <mergeCell ref="B30:J30"/>
    <mergeCell ref="B5:J5"/>
    <mergeCell ref="E32:J32"/>
  </mergeCells>
  <conditionalFormatting sqref="B46:E53">
    <cfRule type="expression" dxfId="101" priority="4">
      <formula>ROW()-45&gt;nC</formula>
    </cfRule>
  </conditionalFormatting>
  <conditionalFormatting sqref="B7:J14">
    <cfRule type="expression" dxfId="100" priority="1">
      <formula>OR(ROW()-6&gt;nC,COLUMN()-2&gt;nC)</formula>
    </cfRule>
  </conditionalFormatting>
  <conditionalFormatting sqref="B21:J28">
    <cfRule type="expression" dxfId="99" priority="2">
      <formula>OR(ROW()-20&gt;nC,COLUMN()-2&gt;nC)</formula>
    </cfRule>
  </conditionalFormatting>
  <conditionalFormatting sqref="B32:J39">
    <cfRule type="expression" dxfId="98" priority="3">
      <formula>ROW()-31&gt;nC</formula>
    </cfRule>
  </conditionalFormatting>
  <conditionalFormatting sqref="C61:J61">
    <cfRule type="expression" dxfId="97" priority="5">
      <formula>$C$60&lt;=0.1</formula>
    </cfRule>
    <cfRule type="expression" dxfId="96" priority="6">
      <formula>AND($C$60&gt;0.1,$C$60&lt;=0.2)</formula>
    </cfRule>
    <cfRule type="expression" dxfId="95" priority="7">
      <formula>$C$60&gt;0.2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7:J14" xr:uid="{00000000-0002-0000-02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B8A7D"/>
    <pageSetUpPr fitToPage="1"/>
  </sheetPr>
  <dimension ref="B2:M6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E8" sqref="E8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130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131</v>
      </c>
      <c r="C3" s="65"/>
      <c r="D3" s="65"/>
      <c r="E3" s="65"/>
      <c r="F3" s="65"/>
      <c r="G3" s="65"/>
      <c r="H3" s="65"/>
      <c r="I3" s="65"/>
      <c r="J3" s="65"/>
    </row>
    <row r="4" spans="2:13" ht="21.95" customHeight="1" x14ac:dyDescent="0.25">
      <c r="B4" s="102" t="str">
        <f>IF(1&gt;nC,"ESTA HOJA NO SE USA (solo definiste "&amp;nC&amp;" criterios)","Criterio 1: "&amp;INDEX(Configuracion!$C$13:$C$20,1))</f>
        <v xml:space="preserve">Criterio 1: Costo total </v>
      </c>
      <c r="C4" s="72"/>
      <c r="D4" s="72"/>
      <c r="E4" s="72"/>
      <c r="F4" s="72"/>
      <c r="G4" s="72"/>
      <c r="H4" s="72"/>
      <c r="I4" s="72"/>
      <c r="J4" s="72"/>
    </row>
    <row r="6" spans="2:13" ht="20.100000000000001" customHeight="1" x14ac:dyDescent="0.25">
      <c r="B6" s="87" t="s">
        <v>94</v>
      </c>
      <c r="C6" s="88"/>
      <c r="D6" s="88"/>
      <c r="E6" s="88"/>
      <c r="F6" s="88"/>
      <c r="G6" s="88"/>
      <c r="H6" s="88"/>
      <c r="I6" s="88"/>
      <c r="J6" s="88"/>
      <c r="L6" s="19" t="s">
        <v>95</v>
      </c>
      <c r="M6" s="20" t="s">
        <v>96</v>
      </c>
    </row>
    <row r="7" spans="2:13" ht="32.1" customHeight="1" x14ac:dyDescent="0.25">
      <c r="B7" s="21" t="s">
        <v>97</v>
      </c>
      <c r="C7" s="21" t="str">
        <f>IF(1&gt;nA,"",INDEX(Configuracion!$E$13:$E$20,1))</f>
        <v>Nativas</v>
      </c>
      <c r="D7" s="21" t="str">
        <f>IF(2&gt;nA,"",INDEX(Configuracion!$E$13:$E$20,2))</f>
        <v>Multiplataforma</v>
      </c>
      <c r="E7" s="21" t="str">
        <f>IF(3&gt;nA,"",INDEX(Configuracion!$E$13:$E$20,3))</f>
        <v>Aplicación web</v>
      </c>
      <c r="F7" s="21" t="str">
        <f>IF(4&gt;nA,"",INDEX(Configuracion!$E$13:$E$20,4))</f>
        <v/>
      </c>
      <c r="G7" s="21" t="str">
        <f>IF(5&gt;nA,"",INDEX(Configuracion!$E$13:$E$20,5))</f>
        <v/>
      </c>
      <c r="H7" s="21" t="str">
        <f>IF(6&gt;nA,"",INDEX(Configuracion!$E$13:$E$20,6))</f>
        <v/>
      </c>
      <c r="I7" s="21" t="str">
        <f>IF(7&gt;nA,"",INDEX(Configuracion!$E$13:$E$20,7))</f>
        <v/>
      </c>
      <c r="J7" s="21" t="str">
        <f>IF(8&gt;nA,"",INDEX(Configuracion!$E$13:$E$20,8))</f>
        <v/>
      </c>
      <c r="L7" s="22" t="s">
        <v>3</v>
      </c>
      <c r="M7" s="6" t="s">
        <v>98</v>
      </c>
    </row>
    <row r="8" spans="2:13" ht="18" customHeight="1" x14ac:dyDescent="0.25">
      <c r="B8" s="23" t="str">
        <f>IF(1&gt;nA,"",INDEX(Configuracion!$E$13:$E$20,1))</f>
        <v>Nativas</v>
      </c>
      <c r="C8" s="24">
        <f>IF(1&gt;nA,"",1)</f>
        <v>1</v>
      </c>
      <c r="D8" s="25">
        <v>9</v>
      </c>
      <c r="E8" s="25">
        <v>3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L8" s="22" t="s">
        <v>9</v>
      </c>
      <c r="M8" s="6" t="s">
        <v>99</v>
      </c>
    </row>
    <row r="9" spans="2:13" ht="18" customHeight="1" x14ac:dyDescent="0.25">
      <c r="B9" s="23" t="str">
        <f>IF(2&gt;nA,"",INDEX(Configuracion!$E$13:$E$20,2))</f>
        <v>Multiplataforma</v>
      </c>
      <c r="C9" s="26">
        <f>IF(2&gt;nA,"",IF(D8="","",1/D8))</f>
        <v>0.1111111111111111</v>
      </c>
      <c r="D9" s="24">
        <f>IF(2&gt;nA,"",1)</f>
        <v>1</v>
      </c>
      <c r="E9" s="25">
        <v>3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L9" s="22" t="s">
        <v>15</v>
      </c>
      <c r="M9" s="6" t="s">
        <v>100</v>
      </c>
    </row>
    <row r="10" spans="2:13" ht="18" customHeight="1" x14ac:dyDescent="0.25">
      <c r="B10" s="23" t="str">
        <f>IF(3&gt;nA,"",INDEX(Configuracion!$E$13:$E$20,3))</f>
        <v>Aplicación web</v>
      </c>
      <c r="C10" s="26">
        <f>IF(3&gt;nA,"",IF(E8="","",1/E8))</f>
        <v>0.33333333333333331</v>
      </c>
      <c r="D10" s="26">
        <f>IF(3&gt;nA,"",IF(E9="","",1/E9))</f>
        <v>0.33333333333333331</v>
      </c>
      <c r="E10" s="24">
        <f>IF(3&gt;nA,"",1)</f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L10" s="22" t="s">
        <v>33</v>
      </c>
      <c r="M10" s="6" t="s">
        <v>101</v>
      </c>
    </row>
    <row r="11" spans="2:13" ht="18" customHeight="1" x14ac:dyDescent="0.25">
      <c r="B11" s="23" t="str">
        <f>IF(4&gt;nA,"",INDEX(Configuracion!$E$13:$E$20,4))</f>
        <v/>
      </c>
      <c r="C11" s="26" t="str">
        <f>IF(4&gt;nA,"",IF(F8="","",1/F8))</f>
        <v/>
      </c>
      <c r="D11" s="26" t="str">
        <f>IF(4&gt;nA,"",IF(F9="","",1/F9))</f>
        <v/>
      </c>
      <c r="E11" s="26" t="str">
        <f>IF(4&gt;nA,"",IF(F10="","",1/F10))</f>
        <v/>
      </c>
      <c r="F11" s="24" t="str">
        <f>IF(4&gt;nA,"",1)</f>
        <v/>
      </c>
      <c r="G11" s="25">
        <v>1</v>
      </c>
      <c r="H11" s="25">
        <v>1</v>
      </c>
      <c r="I11" s="25">
        <v>1</v>
      </c>
      <c r="J11" s="25">
        <v>1</v>
      </c>
      <c r="L11" s="22" t="s">
        <v>37</v>
      </c>
      <c r="M11" s="6" t="s">
        <v>102</v>
      </c>
    </row>
    <row r="12" spans="2:13" ht="18" customHeight="1" x14ac:dyDescent="0.25">
      <c r="B12" s="23" t="str">
        <f>IF(5&gt;nA,"",INDEX(Configuracion!$E$13:$E$20,5))</f>
        <v/>
      </c>
      <c r="C12" s="26" t="str">
        <f>IF(5&gt;nA,"",IF(G8="","",1/G8))</f>
        <v/>
      </c>
      <c r="D12" s="26" t="str">
        <f>IF(5&gt;nA,"",IF(G9="","",1/G9))</f>
        <v/>
      </c>
      <c r="E12" s="26" t="str">
        <f>IF(5&gt;nA,"",IF(G10="","",1/G10))</f>
        <v/>
      </c>
      <c r="F12" s="26" t="str">
        <f>IF(5&gt;nA,"",IF(G11="","",1/G11))</f>
        <v/>
      </c>
      <c r="G12" s="24" t="str">
        <f>IF(5&gt;nA,"",1)</f>
        <v/>
      </c>
      <c r="H12" s="25">
        <v>1</v>
      </c>
      <c r="I12" s="25">
        <v>1</v>
      </c>
      <c r="J12" s="25">
        <v>1</v>
      </c>
      <c r="L12" s="22" t="s">
        <v>103</v>
      </c>
      <c r="M12" s="6" t="s">
        <v>104</v>
      </c>
    </row>
    <row r="13" spans="2:13" ht="18" customHeight="1" x14ac:dyDescent="0.25">
      <c r="B13" s="23" t="str">
        <f>IF(6&gt;nA,"",INDEX(Configuracion!$E$13:$E$20,6))</f>
        <v/>
      </c>
      <c r="C13" s="26" t="str">
        <f>IF(6&gt;nA,"",IF(H8="","",1/H8))</f>
        <v/>
      </c>
      <c r="D13" s="26" t="str">
        <f>IF(6&gt;nA,"",IF(H9="","",1/H9))</f>
        <v/>
      </c>
      <c r="E13" s="26" t="str">
        <f>IF(6&gt;nA,"",IF(H10="","",1/H10))</f>
        <v/>
      </c>
      <c r="F13" s="26" t="str">
        <f>IF(6&gt;nA,"",IF(H11="","",1/H11))</f>
        <v/>
      </c>
      <c r="G13" s="26" t="str">
        <f>IF(6&gt;nA,"",IF(H12="","",1/H12))</f>
        <v/>
      </c>
      <c r="H13" s="24" t="str">
        <f>IF(6&gt;nA,"",1)</f>
        <v/>
      </c>
      <c r="I13" s="25">
        <v>1</v>
      </c>
      <c r="J13" s="25">
        <v>1</v>
      </c>
      <c r="L13" s="22" t="s">
        <v>105</v>
      </c>
      <c r="M13" s="6" t="s">
        <v>106</v>
      </c>
    </row>
    <row r="14" spans="2:13" ht="18" customHeight="1" x14ac:dyDescent="0.25">
      <c r="B14" s="23" t="str">
        <f>IF(7&gt;nA,"",INDEX(Configuracion!$E$13:$E$20,7))</f>
        <v/>
      </c>
      <c r="C14" s="26" t="str">
        <f>IF(7&gt;nA,"",IF(I8="","",1/I8))</f>
        <v/>
      </c>
      <c r="D14" s="26" t="str">
        <f>IF(7&gt;nA,"",IF(I9="","",1/I9))</f>
        <v/>
      </c>
      <c r="E14" s="26" t="str">
        <f>IF(7&gt;nA,"",IF(I10="","",1/I10))</f>
        <v/>
      </c>
      <c r="F14" s="26" t="str">
        <f>IF(7&gt;nA,"",IF(I11="","",1/I11))</f>
        <v/>
      </c>
      <c r="G14" s="26" t="str">
        <f>IF(7&gt;nA,"",IF(I12="","",1/I12))</f>
        <v/>
      </c>
      <c r="H14" s="26" t="str">
        <f>IF(7&gt;nA,"",IF(I13="","",1/I13))</f>
        <v/>
      </c>
      <c r="I14" s="24" t="str">
        <f>IF(7&gt;nA,"",1)</f>
        <v/>
      </c>
      <c r="J14" s="25">
        <v>1</v>
      </c>
      <c r="L14" s="22" t="s">
        <v>107</v>
      </c>
      <c r="M14" s="6" t="s">
        <v>108</v>
      </c>
    </row>
    <row r="15" spans="2:13" ht="18" customHeight="1" x14ac:dyDescent="0.25">
      <c r="B15" s="23" t="str">
        <f>IF(8&gt;nA,"",INDEX(Configuracion!$E$13:$E$20,8))</f>
        <v/>
      </c>
      <c r="C15" s="26" t="str">
        <f>IF(8&gt;nA,"",IF(J8="","",1/J8))</f>
        <v/>
      </c>
      <c r="D15" s="26" t="str">
        <f>IF(8&gt;nA,"",IF(J9="","",1/J9))</f>
        <v/>
      </c>
      <c r="E15" s="26" t="str">
        <f>IF(8&gt;nA,"",IF(J10="","",1/J10))</f>
        <v/>
      </c>
      <c r="F15" s="26" t="str">
        <f>IF(8&gt;nA,"",IF(J11="","",1/J11))</f>
        <v/>
      </c>
      <c r="G15" s="26" t="str">
        <f>IF(8&gt;nA,"",IF(J12="","",1/J12))</f>
        <v/>
      </c>
      <c r="H15" s="26" t="str">
        <f>IF(8&gt;nA,"",IF(J13="","",1/J13))</f>
        <v/>
      </c>
      <c r="I15" s="26" t="str">
        <f>IF(8&gt;nA,"",IF(J14="","",1/J14))</f>
        <v/>
      </c>
      <c r="J15" s="24" t="str">
        <f>IF(8&gt;nA,"",1)</f>
        <v/>
      </c>
    </row>
    <row r="16" spans="2:13" x14ac:dyDescent="0.25">
      <c r="L16" s="99" t="s">
        <v>109</v>
      </c>
      <c r="M16" s="65"/>
    </row>
    <row r="17" spans="2:13" ht="20.100000000000001" customHeight="1" x14ac:dyDescent="0.25">
      <c r="B17" s="87" t="s">
        <v>110</v>
      </c>
      <c r="C17" s="88"/>
      <c r="D17" s="88"/>
      <c r="E17" s="88"/>
      <c r="F17" s="88"/>
      <c r="G17" s="88"/>
      <c r="H17" s="88"/>
      <c r="I17" s="88"/>
      <c r="J17" s="88"/>
      <c r="L17" s="65"/>
      <c r="M17" s="65"/>
    </row>
    <row r="18" spans="2:13" x14ac:dyDescent="0.25">
      <c r="B18" s="23" t="s">
        <v>111</v>
      </c>
      <c r="C18" s="27">
        <f>IF(1&gt;nA,"",SUM(INDEX(C$8:C$15,1):INDEX(C$8:C$15,nA)))</f>
        <v>1.4444444444444444</v>
      </c>
      <c r="D18" s="27">
        <f>IF(2&gt;nA,"",SUM(INDEX(D$8:D$15,1):INDEX(D$8:D$15,nA)))</f>
        <v>10.333333333333334</v>
      </c>
      <c r="E18" s="27">
        <f>IF(3&gt;nA,"",SUM(INDEX(E$8:E$15,1):INDEX(E$8:E$15,nA)))</f>
        <v>7</v>
      </c>
      <c r="F18" s="27" t="str">
        <f>IF(4&gt;nA,"",SUM(INDEX(F$8:F$15,1):INDEX(F$8:F$15,nA)))</f>
        <v/>
      </c>
      <c r="G18" s="27" t="str">
        <f>IF(5&gt;nA,"",SUM(INDEX(G$8:G$15,1):INDEX(G$8:G$15,nA)))</f>
        <v/>
      </c>
      <c r="H18" s="27" t="str">
        <f>IF(6&gt;nA,"",SUM(INDEX(H$8:H$15,1):INDEX(H$8:H$15,nA)))</f>
        <v/>
      </c>
      <c r="I18" s="27" t="str">
        <f>IF(7&gt;nA,"",SUM(INDEX(I$8:I$15,1):INDEX(I$8:I$15,nA)))</f>
        <v/>
      </c>
      <c r="J18" s="27" t="str">
        <f>IF(8&gt;nA,"",SUM(INDEX(J$8:J$15,1):INDEX(J$8:J$15,nA)))</f>
        <v/>
      </c>
      <c r="L18" s="65"/>
      <c r="M18" s="65"/>
    </row>
    <row r="20" spans="2:13" ht="20.100000000000001" customHeight="1" x14ac:dyDescent="0.25">
      <c r="B20" s="87" t="s">
        <v>112</v>
      </c>
      <c r="C20" s="88"/>
      <c r="D20" s="88"/>
      <c r="E20" s="88"/>
      <c r="F20" s="88"/>
      <c r="G20" s="88"/>
      <c r="H20" s="88"/>
      <c r="I20" s="88"/>
      <c r="J20" s="88"/>
    </row>
    <row r="21" spans="2:13" ht="32.1" customHeight="1" x14ac:dyDescent="0.25">
      <c r="B21" s="21" t="s">
        <v>97</v>
      </c>
      <c r="C21" s="21" t="str">
        <f>IF(1&gt;nA,"",INDEX(Configuracion!$E$13:$E$20,1))</f>
        <v>Nativas</v>
      </c>
      <c r="D21" s="21" t="str">
        <f>IF(2&gt;nA,"",INDEX(Configuracion!$E$13:$E$20,2))</f>
        <v>Multiplataforma</v>
      </c>
      <c r="E21" s="21" t="str">
        <f>IF(3&gt;nA,"",INDEX(Configuracion!$E$13:$E$20,3))</f>
        <v>Aplicación web</v>
      </c>
      <c r="F21" s="21" t="str">
        <f>IF(4&gt;nA,"",INDEX(Configuracion!$E$13:$E$20,4))</f>
        <v/>
      </c>
      <c r="G21" s="21" t="str">
        <f>IF(5&gt;nA,"",INDEX(Configuracion!$E$13:$E$20,5))</f>
        <v/>
      </c>
      <c r="H21" s="21" t="str">
        <f>IF(6&gt;nA,"",INDEX(Configuracion!$E$13:$E$20,6))</f>
        <v/>
      </c>
      <c r="I21" s="21" t="str">
        <f>IF(7&gt;nA,"",INDEX(Configuracion!$E$13:$E$20,7))</f>
        <v/>
      </c>
      <c r="J21" s="21" t="str">
        <f>IF(8&gt;nA,"",INDEX(Configuracion!$E$13:$E$20,8))</f>
        <v/>
      </c>
    </row>
    <row r="22" spans="2:13" ht="18" customHeight="1" x14ac:dyDescent="0.25">
      <c r="B22" s="23" t="str">
        <f>IF(1&gt;nA,"",INDEX(Configuracion!$E$13:$E$20,1))</f>
        <v>Nativas</v>
      </c>
      <c r="C22" s="28">
        <f>IF(OR(1&gt;nA,1&gt;nA),"",C8/C$18)</f>
        <v>0.69230769230769229</v>
      </c>
      <c r="D22" s="28">
        <f>IF(OR(1&gt;nA,2&gt;nA),"",D8/D$18)</f>
        <v>0.87096774193548387</v>
      </c>
      <c r="E22" s="28">
        <f>IF(OR(1&gt;nA,3&gt;nA),"",E8/E$18)</f>
        <v>0.42857142857142855</v>
      </c>
      <c r="F22" s="28" t="str">
        <f>IF(OR(1&gt;nA,4&gt;nA),"",F8/F$18)</f>
        <v/>
      </c>
      <c r="G22" s="28" t="str">
        <f>IF(OR(1&gt;nA,5&gt;nA),"",G8/G$18)</f>
        <v/>
      </c>
      <c r="H22" s="28" t="str">
        <f>IF(OR(1&gt;nA,6&gt;nA),"",H8/H$18)</f>
        <v/>
      </c>
      <c r="I22" s="28" t="str">
        <f>IF(OR(1&gt;nA,7&gt;nA),"",I8/I$18)</f>
        <v/>
      </c>
      <c r="J22" s="28" t="str">
        <f>IF(OR(1&gt;nA,8&gt;nA),"",J8/J$18)</f>
        <v/>
      </c>
    </row>
    <row r="23" spans="2:13" ht="18" customHeight="1" x14ac:dyDescent="0.25">
      <c r="B23" s="23" t="str">
        <f>IF(2&gt;nA,"",INDEX(Configuracion!$E$13:$E$20,2))</f>
        <v>Multiplataforma</v>
      </c>
      <c r="C23" s="28">
        <f>IF(OR(2&gt;nA,1&gt;nA),"",C9/C$18)</f>
        <v>7.6923076923076913E-2</v>
      </c>
      <c r="D23" s="28">
        <f>IF(OR(2&gt;nA,2&gt;nA),"",D9/D$18)</f>
        <v>9.6774193548387094E-2</v>
      </c>
      <c r="E23" s="28">
        <f>IF(OR(2&gt;nA,3&gt;nA),"",E9/E$18)</f>
        <v>0.42857142857142855</v>
      </c>
      <c r="F23" s="28" t="str">
        <f>IF(OR(2&gt;nA,4&gt;nA),"",F9/F$18)</f>
        <v/>
      </c>
      <c r="G23" s="28" t="str">
        <f>IF(OR(2&gt;nA,5&gt;nA),"",G9/G$18)</f>
        <v/>
      </c>
      <c r="H23" s="28" t="str">
        <f>IF(OR(2&gt;nA,6&gt;nA),"",H9/H$18)</f>
        <v/>
      </c>
      <c r="I23" s="28" t="str">
        <f>IF(OR(2&gt;nA,7&gt;nA),"",I9/I$18)</f>
        <v/>
      </c>
      <c r="J23" s="28" t="str">
        <f>IF(OR(2&gt;nA,8&gt;nA),"",J9/J$18)</f>
        <v/>
      </c>
    </row>
    <row r="24" spans="2:13" ht="18" customHeight="1" x14ac:dyDescent="0.25">
      <c r="B24" s="23" t="str">
        <f>IF(3&gt;nA,"",INDEX(Configuracion!$E$13:$E$20,3))</f>
        <v>Aplicación web</v>
      </c>
      <c r="C24" s="28">
        <f>IF(OR(3&gt;nA,1&gt;nA),"",C10/C$18)</f>
        <v>0.23076923076923075</v>
      </c>
      <c r="D24" s="28">
        <f>IF(OR(3&gt;nA,2&gt;nA),"",D10/D$18)</f>
        <v>3.2258064516129031E-2</v>
      </c>
      <c r="E24" s="28">
        <f>IF(OR(3&gt;nA,3&gt;nA),"",E10/E$18)</f>
        <v>0.14285714285714285</v>
      </c>
      <c r="F24" s="28" t="str">
        <f>IF(OR(3&gt;nA,4&gt;nA),"",F10/F$18)</f>
        <v/>
      </c>
      <c r="G24" s="28" t="str">
        <f>IF(OR(3&gt;nA,5&gt;nA),"",G10/G$18)</f>
        <v/>
      </c>
      <c r="H24" s="28" t="str">
        <f>IF(OR(3&gt;nA,6&gt;nA),"",H10/H$18)</f>
        <v/>
      </c>
      <c r="I24" s="28" t="str">
        <f>IF(OR(3&gt;nA,7&gt;nA),"",I10/I$18)</f>
        <v/>
      </c>
      <c r="J24" s="28" t="str">
        <f>IF(OR(3&gt;nA,8&gt;nA),"",J10/J$18)</f>
        <v/>
      </c>
    </row>
    <row r="25" spans="2:13" ht="18" customHeight="1" x14ac:dyDescent="0.25">
      <c r="B25" s="23" t="str">
        <f>IF(4&gt;nA,"",INDEX(Configuracion!$E$13:$E$20,4))</f>
        <v/>
      </c>
      <c r="C25" s="28" t="str">
        <f>IF(OR(4&gt;nA,1&gt;nA),"",C11/C$18)</f>
        <v/>
      </c>
      <c r="D25" s="28" t="str">
        <f>IF(OR(4&gt;nA,2&gt;nA),"",D11/D$18)</f>
        <v/>
      </c>
      <c r="E25" s="28" t="str">
        <f>IF(OR(4&gt;nA,3&gt;nA),"",E11/E$18)</f>
        <v/>
      </c>
      <c r="F25" s="28" t="str">
        <f>IF(OR(4&gt;nA,4&gt;nA),"",F11/F$18)</f>
        <v/>
      </c>
      <c r="G25" s="28" t="str">
        <f>IF(OR(4&gt;nA,5&gt;nA),"",G11/G$18)</f>
        <v/>
      </c>
      <c r="H25" s="28" t="str">
        <f>IF(OR(4&gt;nA,6&gt;nA),"",H11/H$18)</f>
        <v/>
      </c>
      <c r="I25" s="28" t="str">
        <f>IF(OR(4&gt;nA,7&gt;nA),"",I11/I$18)</f>
        <v/>
      </c>
      <c r="J25" s="28" t="str">
        <f>IF(OR(4&gt;nA,8&gt;nA),"",J11/J$18)</f>
        <v/>
      </c>
    </row>
    <row r="26" spans="2:13" ht="18" customHeight="1" x14ac:dyDescent="0.25">
      <c r="B26" s="23" t="str">
        <f>IF(5&gt;nA,"",INDEX(Configuracion!$E$13:$E$20,5))</f>
        <v/>
      </c>
      <c r="C26" s="28" t="str">
        <f>IF(OR(5&gt;nA,1&gt;nA),"",C12/C$18)</f>
        <v/>
      </c>
      <c r="D26" s="28" t="str">
        <f>IF(OR(5&gt;nA,2&gt;nA),"",D12/D$18)</f>
        <v/>
      </c>
      <c r="E26" s="28" t="str">
        <f>IF(OR(5&gt;nA,3&gt;nA),"",E12/E$18)</f>
        <v/>
      </c>
      <c r="F26" s="28" t="str">
        <f>IF(OR(5&gt;nA,4&gt;nA),"",F12/F$18)</f>
        <v/>
      </c>
      <c r="G26" s="28" t="str">
        <f>IF(OR(5&gt;nA,5&gt;nA),"",G12/G$18)</f>
        <v/>
      </c>
      <c r="H26" s="28" t="str">
        <f>IF(OR(5&gt;nA,6&gt;nA),"",H12/H$18)</f>
        <v/>
      </c>
      <c r="I26" s="28" t="str">
        <f>IF(OR(5&gt;nA,7&gt;nA),"",I12/I$18)</f>
        <v/>
      </c>
      <c r="J26" s="28" t="str">
        <f>IF(OR(5&gt;nA,8&gt;nA),"",J12/J$18)</f>
        <v/>
      </c>
    </row>
    <row r="27" spans="2:13" ht="18" customHeight="1" x14ac:dyDescent="0.25">
      <c r="B27" s="23" t="str">
        <f>IF(6&gt;nA,"",INDEX(Configuracion!$E$13:$E$20,6))</f>
        <v/>
      </c>
      <c r="C27" s="28" t="str">
        <f>IF(OR(6&gt;nA,1&gt;nA),"",C13/C$18)</f>
        <v/>
      </c>
      <c r="D27" s="28" t="str">
        <f>IF(OR(6&gt;nA,2&gt;nA),"",D13/D$18)</f>
        <v/>
      </c>
      <c r="E27" s="28" t="str">
        <f>IF(OR(6&gt;nA,3&gt;nA),"",E13/E$18)</f>
        <v/>
      </c>
      <c r="F27" s="28" t="str">
        <f>IF(OR(6&gt;nA,4&gt;nA),"",F13/F$18)</f>
        <v/>
      </c>
      <c r="G27" s="28" t="str">
        <f>IF(OR(6&gt;nA,5&gt;nA),"",G13/G$18)</f>
        <v/>
      </c>
      <c r="H27" s="28" t="str">
        <f>IF(OR(6&gt;nA,6&gt;nA),"",H13/H$18)</f>
        <v/>
      </c>
      <c r="I27" s="28" t="str">
        <f>IF(OR(6&gt;nA,7&gt;nA),"",I13/I$18)</f>
        <v/>
      </c>
      <c r="J27" s="28" t="str">
        <f>IF(OR(6&gt;nA,8&gt;nA),"",J13/J$18)</f>
        <v/>
      </c>
    </row>
    <row r="28" spans="2:13" ht="18" customHeight="1" x14ac:dyDescent="0.25">
      <c r="B28" s="23" t="str">
        <f>IF(7&gt;nA,"",INDEX(Configuracion!$E$13:$E$20,7))</f>
        <v/>
      </c>
      <c r="C28" s="28" t="str">
        <f>IF(OR(7&gt;nA,1&gt;nA),"",C14/C$18)</f>
        <v/>
      </c>
      <c r="D28" s="28" t="str">
        <f>IF(OR(7&gt;nA,2&gt;nA),"",D14/D$18)</f>
        <v/>
      </c>
      <c r="E28" s="28" t="str">
        <f>IF(OR(7&gt;nA,3&gt;nA),"",E14/E$18)</f>
        <v/>
      </c>
      <c r="F28" s="28" t="str">
        <f>IF(OR(7&gt;nA,4&gt;nA),"",F14/F$18)</f>
        <v/>
      </c>
      <c r="G28" s="28" t="str">
        <f>IF(OR(7&gt;nA,5&gt;nA),"",G14/G$18)</f>
        <v/>
      </c>
      <c r="H28" s="28" t="str">
        <f>IF(OR(7&gt;nA,6&gt;nA),"",H14/H$18)</f>
        <v/>
      </c>
      <c r="I28" s="28" t="str">
        <f>IF(OR(7&gt;nA,7&gt;nA),"",I14/I$18)</f>
        <v/>
      </c>
      <c r="J28" s="28" t="str">
        <f>IF(OR(7&gt;nA,8&gt;nA),"",J14/J$18)</f>
        <v/>
      </c>
    </row>
    <row r="29" spans="2:13" ht="18" customHeight="1" x14ac:dyDescent="0.25">
      <c r="B29" s="23" t="str">
        <f>IF(8&gt;nA,"",INDEX(Configuracion!$E$13:$E$20,8))</f>
        <v/>
      </c>
      <c r="C29" s="28" t="str">
        <f>IF(OR(8&gt;nA,1&gt;nA),"",C15/C$18)</f>
        <v/>
      </c>
      <c r="D29" s="28" t="str">
        <f>IF(OR(8&gt;nA,2&gt;nA),"",D15/D$18)</f>
        <v/>
      </c>
      <c r="E29" s="28" t="str">
        <f>IF(OR(8&gt;nA,3&gt;nA),"",E15/E$18)</f>
        <v/>
      </c>
      <c r="F29" s="28" t="str">
        <f>IF(OR(8&gt;nA,4&gt;nA),"",F15/F$18)</f>
        <v/>
      </c>
      <c r="G29" s="28" t="str">
        <f>IF(OR(8&gt;nA,5&gt;nA),"",G15/G$18)</f>
        <v/>
      </c>
      <c r="H29" s="28" t="str">
        <f>IF(OR(8&gt;nA,6&gt;nA),"",H15/H$18)</f>
        <v/>
      </c>
      <c r="I29" s="28" t="str">
        <f>IF(OR(8&gt;nA,7&gt;nA),"",I15/I$18)</f>
        <v/>
      </c>
      <c r="J29" s="28" t="str">
        <f>IF(OR(8&gt;nA,8&gt;nA),"",J15/J$18)</f>
        <v/>
      </c>
    </row>
    <row r="31" spans="2:13" ht="20.100000000000001" customHeight="1" x14ac:dyDescent="0.25">
      <c r="B31" s="87" t="s">
        <v>113</v>
      </c>
      <c r="C31" s="88"/>
      <c r="D31" s="88"/>
      <c r="E31" s="88"/>
      <c r="F31" s="88"/>
      <c r="G31" s="88"/>
      <c r="H31" s="88"/>
      <c r="I31" s="88"/>
      <c r="J31" s="88"/>
    </row>
    <row r="32" spans="2:13" x14ac:dyDescent="0.25">
      <c r="B32" s="3" t="s">
        <v>114</v>
      </c>
      <c r="C32" s="3" t="s">
        <v>115</v>
      </c>
      <c r="D32" s="3" t="s">
        <v>116</v>
      </c>
      <c r="E32" s="100" t="s">
        <v>117</v>
      </c>
      <c r="F32" s="101"/>
      <c r="G32" s="101"/>
      <c r="H32" s="101"/>
      <c r="I32" s="101"/>
      <c r="J32" s="101"/>
    </row>
    <row r="33" spans="2:10" ht="18" customHeight="1" x14ac:dyDescent="0.25">
      <c r="B33" s="23" t="str">
        <f>IF(1&gt;nA,"",INDEX(Configuracion!$E$13:$E$20,1))</f>
        <v>Nativas</v>
      </c>
      <c r="C33" s="29">
        <f>IF(1&gt;nA,"",AVERAGE(INDEX($C22:$J22,1):INDEX($C22:$J22,nA)))</f>
        <v>0.66394895427153489</v>
      </c>
      <c r="D33" s="30">
        <f>IF(1&gt;nA,"",C33)</f>
        <v>0.66394895427153489</v>
      </c>
      <c r="E33" s="98" t="str">
        <f>IF(1&gt;nA,"","De cada 100 puntos de importancia, este se lleva "&amp;TEXT(C33*100,"0,0")&amp;".")</f>
        <v>De cada 100 puntos de importancia, este se lleva 66.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IF(2&gt;nA,"",INDEX(Configuracion!$E$13:$E$20,2))</f>
        <v>Multiplataforma</v>
      </c>
      <c r="C34" s="29">
        <f>IF(2&gt;nA,"",AVERAGE(INDEX($C23:$J23,1):INDEX($C23:$J23,nA)))</f>
        <v>0.20075623301429749</v>
      </c>
      <c r="D34" s="30">
        <f>IF(2&gt;nA,"",C34)</f>
        <v>0.20075623301429749</v>
      </c>
      <c r="E34" s="98" t="str">
        <f>IF(2&gt;nA,"","De cada 100 puntos de importancia, este se lleva "&amp;TEXT(C34*100,"0,0")&amp;".")</f>
        <v>De cada 100 puntos de importancia, este se lleva 20.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IF(3&gt;nA,"",INDEX(Configuracion!$E$13:$E$20,3))</f>
        <v>Aplicación web</v>
      </c>
      <c r="C35" s="29">
        <f>IF(3&gt;nA,"",AVERAGE(INDEX($C24:$J24,1):INDEX($C24:$J24,nA)))</f>
        <v>0.13529481271416754</v>
      </c>
      <c r="D35" s="30">
        <f>IF(3&gt;nA,"",C35)</f>
        <v>0.13529481271416754</v>
      </c>
      <c r="E35" s="98" t="str">
        <f>IF(3&gt;nA,"","De cada 100 puntos de importancia, este se lleva "&amp;TEXT(C35*100,"0,0")&amp;".")</f>
        <v>De cada 100 puntos de importancia, este se lleva 14.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IF(4&gt;nA,"",INDEX(Configuracion!$E$13:$E$20,4))</f>
        <v/>
      </c>
      <c r="C36" s="29" t="str">
        <f>IF(4&gt;nA,"",AVERAGE(INDEX($C25:$J25,1):INDEX($C25:$J25,nA)))</f>
        <v/>
      </c>
      <c r="D36" s="30" t="str">
        <f>IF(4&gt;nA,"",C36)</f>
        <v/>
      </c>
      <c r="E36" s="98" t="str">
        <f>IF(4&gt;nA,"","De cada 100 puntos de importancia, este se lleva "&amp;TEXT(C36*100,"0,0")&amp;".")</f>
        <v/>
      </c>
      <c r="F36" s="63"/>
      <c r="G36" s="63"/>
      <c r="H36" s="63"/>
      <c r="I36" s="63"/>
      <c r="J36" s="63"/>
    </row>
    <row r="37" spans="2:10" ht="18" customHeight="1" x14ac:dyDescent="0.25">
      <c r="B37" s="23" t="str">
        <f>IF(5&gt;nA,"",INDEX(Configuracion!$E$13:$E$20,5))</f>
        <v/>
      </c>
      <c r="C37" s="29" t="str">
        <f>IF(5&gt;nA,"",AVERAGE(INDEX($C26:$J26,1):INDEX($C26:$J26,nA)))</f>
        <v/>
      </c>
      <c r="D37" s="30" t="str">
        <f>IF(5&gt;nA,"",C37)</f>
        <v/>
      </c>
      <c r="E37" s="98" t="str">
        <f>IF(5&gt;nA,"","De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IF(6&gt;nA,"",INDEX(Configuracion!$E$13:$E$20,6))</f>
        <v/>
      </c>
      <c r="C38" s="29" t="str">
        <f>IF(6&gt;nA,"",AVERAGE(INDEX($C27:$J27,1):INDEX($C27:$J27,nA)))</f>
        <v/>
      </c>
      <c r="D38" s="30" t="str">
        <f>IF(6&gt;nA,"",C38)</f>
        <v/>
      </c>
      <c r="E38" s="98" t="str">
        <f>IF(6&gt;nA,"","De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IF(7&gt;nA,"",INDEX(Configuracion!$E$13:$E$20,7))</f>
        <v/>
      </c>
      <c r="C39" s="29" t="str">
        <f>IF(7&gt;nA,"",AVERAGE(INDEX($C28:$J28,1):INDEX($C28:$J28,nA)))</f>
        <v/>
      </c>
      <c r="D39" s="30" t="str">
        <f>IF(7&gt;nA,"",C39)</f>
        <v/>
      </c>
      <c r="E39" s="98" t="str">
        <f>IF(7&gt;nA,"","De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ht="18" customHeight="1" x14ac:dyDescent="0.25">
      <c r="B40" s="23" t="str">
        <f>IF(8&gt;nA,"",INDEX(Configuracion!$E$13:$E$20,8))</f>
        <v/>
      </c>
      <c r="C40" s="29" t="str">
        <f>IF(8&gt;nA,"",AVERAGE(INDEX($C29:$J29,1):INDEX($C29:$J29,nA)))</f>
        <v/>
      </c>
      <c r="D40" s="30" t="str">
        <f>IF(8&gt;nA,"",C40)</f>
        <v/>
      </c>
      <c r="E40" s="98" t="str">
        <f>IF(8&gt;nA,"","De cada 100 puntos de importancia, este se lleva "&amp;TEXT(C40*100,"0,0")&amp;".")</f>
        <v/>
      </c>
      <c r="F40" s="63"/>
      <c r="G40" s="63"/>
      <c r="H40" s="63"/>
      <c r="I40" s="63"/>
      <c r="J40" s="63"/>
    </row>
    <row r="41" spans="2:10" x14ac:dyDescent="0.25">
      <c r="B41" s="31" t="s">
        <v>118</v>
      </c>
      <c r="C41" s="32">
        <f>SUM(INDEX($C$33:$C$40,1):INDEX($C$33:$C$40,nA))</f>
        <v>0.99999999999999989</v>
      </c>
    </row>
    <row r="43" spans="2:10" x14ac:dyDescent="0.25">
      <c r="B43" s="33" t="s">
        <v>119</v>
      </c>
      <c r="C43" s="34">
        <f>IF(1&gt;nA,"",$C$33)</f>
        <v>0.66394895427153489</v>
      </c>
      <c r="D43" s="34">
        <f>IF(2&gt;nA,"",$C$34)</f>
        <v>0.20075623301429749</v>
      </c>
      <c r="E43" s="34">
        <f>IF(3&gt;nA,"",$C$35)</f>
        <v>0.13529481271416754</v>
      </c>
      <c r="F43" s="34" t="str">
        <f>IF(4&gt;nA,"",$C$36)</f>
        <v/>
      </c>
      <c r="G43" s="34" t="str">
        <f>IF(5&gt;nA,"",$C$37)</f>
        <v/>
      </c>
      <c r="H43" s="34" t="str">
        <f>IF(6&gt;nA,"",$C$38)</f>
        <v/>
      </c>
      <c r="I43" s="34" t="str">
        <f>IF(7&gt;nA,"",$C$39)</f>
        <v/>
      </c>
      <c r="J43" s="34" t="str">
        <f>IF(8&gt;nA,"",$C$40)</f>
        <v/>
      </c>
    </row>
    <row r="45" spans="2:10" ht="20.100000000000001" customHeight="1" x14ac:dyDescent="0.25">
      <c r="B45" s="87" t="s">
        <v>120</v>
      </c>
      <c r="C45" s="88"/>
      <c r="D45" s="88"/>
      <c r="E45" s="88"/>
      <c r="F45" s="88"/>
      <c r="G45" s="88"/>
      <c r="H45" s="88"/>
      <c r="I45" s="88"/>
      <c r="J45" s="88"/>
    </row>
    <row r="46" spans="2:10" ht="27.95" customHeight="1" x14ac:dyDescent="0.25">
      <c r="B46" s="35" t="s">
        <v>114</v>
      </c>
      <c r="C46" s="35" t="s">
        <v>121</v>
      </c>
      <c r="D46" s="35" t="s">
        <v>115</v>
      </c>
      <c r="E46" s="35" t="s">
        <v>122</v>
      </c>
    </row>
    <row r="47" spans="2:10" ht="18" customHeight="1" x14ac:dyDescent="0.25">
      <c r="B47" s="23" t="str">
        <f>IF(1&gt;nA,"",INDEX(Configuracion!$E$13:$E$20,1))</f>
        <v>Nativas</v>
      </c>
      <c r="C47" s="28">
        <f>IF(1&gt;nA,"",SUMPRODUCT(INDEX($C8:$J8,1):INDEX($C8:$J8,nA),INDEX($C$43:$J$43,1):INDEX($C$43:$J$43,nA)))</f>
        <v>2.8766394895427152</v>
      </c>
      <c r="D47" s="28">
        <f>IF(1&gt;nA,"",$C$33)</f>
        <v>0.66394895427153489</v>
      </c>
      <c r="E47" s="36">
        <f>IF(1&gt;nA,"",C47/D47)</f>
        <v>4.3326214628937532</v>
      </c>
    </row>
    <row r="48" spans="2:10" ht="18" customHeight="1" x14ac:dyDescent="0.25">
      <c r="B48" s="23" t="str">
        <f>IF(2&gt;nA,"",INDEX(Configuracion!$E$13:$E$20,2))</f>
        <v>Multiplataforma</v>
      </c>
      <c r="C48" s="28">
        <f>IF(2&gt;nA,"",SUMPRODUCT(INDEX($C9:$J9,1):INDEX($C9:$J9,nA),INDEX($C$43:$J$43,1):INDEX($C$43:$J$43,nA)))</f>
        <v>0.68041277718697069</v>
      </c>
      <c r="D48" s="28">
        <f>IF(2&gt;nA,"",$C$34)</f>
        <v>0.20075623301429749</v>
      </c>
      <c r="E48" s="36">
        <f>IF(2&gt;nA,"",C48/D48)</f>
        <v>3.3892485775946639</v>
      </c>
    </row>
    <row r="49" spans="2:10" ht="18" customHeight="1" x14ac:dyDescent="0.25">
      <c r="B49" s="23" t="str">
        <f>IF(3&gt;nA,"",INDEX(Configuracion!$E$13:$E$20,3))</f>
        <v>Aplicación web</v>
      </c>
      <c r="C49" s="28">
        <f>IF(3&gt;nA,"",SUMPRODUCT(INDEX($C10:$J10,1):INDEX($C10:$J10,nA),INDEX($C$43:$J$43,1):INDEX($C$43:$J$43,nA)))</f>
        <v>0.42352987514277829</v>
      </c>
      <c r="D49" s="28">
        <f>IF(3&gt;nA,"",$C$35)</f>
        <v>0.13529481271416754</v>
      </c>
      <c r="E49" s="36">
        <f>IF(3&gt;nA,"",C49/D49)</f>
        <v>3.13042212518195</v>
      </c>
    </row>
    <row r="50" spans="2:10" ht="18" customHeight="1" x14ac:dyDescent="0.25">
      <c r="B50" s="23" t="str">
        <f>IF(4&gt;nA,"",INDEX(Configuracion!$E$13:$E$20,4))</f>
        <v/>
      </c>
      <c r="C50" s="28" t="str">
        <f>IF(4&gt;nA,"",SUMPRODUCT(INDEX($C11:$J11,1):INDEX($C11:$J11,nA),INDEX($C$43:$J$43,1):INDEX($C$43:$J$43,nA)))</f>
        <v/>
      </c>
      <c r="D50" s="28" t="str">
        <f>IF(4&gt;nA,"",$C$36)</f>
        <v/>
      </c>
      <c r="E50" s="36" t="str">
        <f>IF(4&gt;nA,"",C50/D50)</f>
        <v/>
      </c>
    </row>
    <row r="51" spans="2:10" ht="18" customHeight="1" x14ac:dyDescent="0.25">
      <c r="B51" s="23" t="str">
        <f>IF(5&gt;nA,"",INDEX(Configuracion!$E$13:$E$20,5))</f>
        <v/>
      </c>
      <c r="C51" s="28" t="str">
        <f>IF(5&gt;nA,"",SUMPRODUCT(INDEX($C12:$J12,1):INDEX($C12:$J12,nA),INDEX($C$43:$J$43,1):INDEX($C$43:$J$43,nA)))</f>
        <v/>
      </c>
      <c r="D51" s="28" t="str">
        <f>IF(5&gt;nA,"",$C$37)</f>
        <v/>
      </c>
      <c r="E51" s="36" t="str">
        <f>IF(5&gt;nA,"",C51/D51)</f>
        <v/>
      </c>
    </row>
    <row r="52" spans="2:10" ht="18" customHeight="1" x14ac:dyDescent="0.25">
      <c r="B52" s="23" t="str">
        <f>IF(6&gt;nA,"",INDEX(Configuracion!$E$13:$E$20,6))</f>
        <v/>
      </c>
      <c r="C52" s="28" t="str">
        <f>IF(6&gt;nA,"",SUMPRODUCT(INDEX($C13:$J13,1):INDEX($C13:$J13,nA),INDEX($C$43:$J$43,1):INDEX($C$43:$J$43,nA)))</f>
        <v/>
      </c>
      <c r="D52" s="28" t="str">
        <f>IF(6&gt;nA,"",$C$38)</f>
        <v/>
      </c>
      <c r="E52" s="36" t="str">
        <f>IF(6&gt;nA,"",C52/D52)</f>
        <v/>
      </c>
    </row>
    <row r="53" spans="2:10" ht="18" customHeight="1" x14ac:dyDescent="0.25">
      <c r="B53" s="23" t="str">
        <f>IF(7&gt;nA,"",INDEX(Configuracion!$E$13:$E$20,7))</f>
        <v/>
      </c>
      <c r="C53" s="28" t="str">
        <f>IF(7&gt;nA,"",SUMPRODUCT(INDEX($C14:$J14,1):INDEX($C14:$J14,nA),INDEX($C$43:$J$43,1):INDEX($C$43:$J$43,nA)))</f>
        <v/>
      </c>
      <c r="D53" s="28" t="str">
        <f>IF(7&gt;nA,"",$C$39)</f>
        <v/>
      </c>
      <c r="E53" s="36" t="str">
        <f>IF(7&gt;nA,"",C53/D53)</f>
        <v/>
      </c>
    </row>
    <row r="54" spans="2:10" ht="18" customHeight="1" x14ac:dyDescent="0.25">
      <c r="B54" s="23" t="str">
        <f>IF(8&gt;nA,"",INDEX(Configuracion!$E$13:$E$20,8))</f>
        <v/>
      </c>
      <c r="C54" s="28" t="str">
        <f>IF(8&gt;nA,"",SUMPRODUCT(INDEX($C15:$J15,1):INDEX($C15:$J15,nA),INDEX($C$43:$J$43,1):INDEX($C$43:$J$43,nA)))</f>
        <v/>
      </c>
      <c r="D54" s="28" t="str">
        <f>IF(8&gt;nA,"",$C$40)</f>
        <v/>
      </c>
      <c r="E54" s="36" t="str">
        <f>IF(8&gt;nA,"",C54/D54)</f>
        <v/>
      </c>
    </row>
    <row r="56" spans="2:10" ht="20.100000000000001" customHeight="1" x14ac:dyDescent="0.25">
      <c r="B56" s="85" t="s">
        <v>123</v>
      </c>
      <c r="C56" s="86"/>
      <c r="D56" s="86"/>
      <c r="E56" s="86"/>
      <c r="F56" s="86"/>
      <c r="G56" s="86"/>
      <c r="H56" s="86"/>
      <c r="I56" s="86"/>
      <c r="J56" s="86"/>
    </row>
    <row r="57" spans="2:10" x14ac:dyDescent="0.25">
      <c r="B57" s="37" t="s">
        <v>124</v>
      </c>
      <c r="C57" s="38">
        <f>AVERAGE(INDEX($E$47:$E$54,1):INDEX($E$47:$E$54,nA))</f>
        <v>3.617430721890122</v>
      </c>
    </row>
    <row r="58" spans="2:10" x14ac:dyDescent="0.25">
      <c r="B58" s="37" t="s">
        <v>125</v>
      </c>
      <c r="C58" s="39">
        <f>nA</f>
        <v>3</v>
      </c>
    </row>
    <row r="59" spans="2:10" x14ac:dyDescent="0.25">
      <c r="B59" s="37" t="s">
        <v>126</v>
      </c>
      <c r="C59" s="38">
        <f>IF(nA&lt;2,0,(C57-C58)/(C58-1))</f>
        <v>0.30871536094506102</v>
      </c>
    </row>
    <row r="60" spans="2:10" x14ac:dyDescent="0.25">
      <c r="B60" s="37" t="s">
        <v>127</v>
      </c>
      <c r="C60" s="40">
        <f>INDEX(RI_tabla,nA)</f>
        <v>0.57999999999999996</v>
      </c>
    </row>
    <row r="61" spans="2:10" ht="15.75" x14ac:dyDescent="0.25">
      <c r="B61" s="41" t="s">
        <v>128</v>
      </c>
      <c r="C61" s="42">
        <f>IF(nA&lt;3,0,IF(C60=0,0,C59/C60))</f>
        <v>0.53226786369838108</v>
      </c>
    </row>
    <row r="62" spans="2:10" ht="26.1" customHeight="1" x14ac:dyDescent="0.25">
      <c r="B62" s="43" t="s">
        <v>129</v>
      </c>
      <c r="C62" s="44">
        <f>C61</f>
        <v>0.53226786369838108</v>
      </c>
      <c r="D62" s="97" t="str">
        <f>IF(C61&lt;=0.1,"ACEPTABLE  ·  puedes seguir",IF(C61&lt;=0.2,"DUDOSO  ·  revisa las comparaciones mas extremas","RECHAZADO  ·  hay que reevaluar esta matriz"))</f>
        <v>RECHAZADO  ·  hay que reevaluar esta matriz</v>
      </c>
      <c r="E62" s="63"/>
      <c r="F62" s="63"/>
      <c r="G62" s="63"/>
      <c r="H62" s="63"/>
      <c r="I62" s="63"/>
      <c r="J62" s="63"/>
    </row>
    <row r="64" spans="2:10" ht="30" customHeight="1" x14ac:dyDescent="0.25">
      <c r="B64" s="64" t="str">
        <f>IF(C61&lt;=0.1,"Tus juicios son coherentes. Los pesos del PASO 4 se pueden usar.","Busca en la matriz del PASO 1 el numero mas extremo (un 7 o un 9) y preguntate si de verdad es para tanto. Bajalo un escalon y vuelve a mirar el CR.")</f>
        <v>Busca en la matriz del PASO 1 el numero mas extremo (un 7 o un 9) y preguntate si de verdad es para tanto. Bajalo un escalon y vuelve a mirar el CR.</v>
      </c>
      <c r="C64" s="65"/>
      <c r="D64" s="65"/>
      <c r="E64" s="65"/>
      <c r="F64" s="65"/>
      <c r="G64" s="65"/>
      <c r="H64" s="65"/>
      <c r="I64" s="65"/>
      <c r="J64" s="65"/>
    </row>
  </sheetData>
  <mergeCells count="21">
    <mergeCell ref="L16:M18"/>
    <mergeCell ref="E36:J36"/>
    <mergeCell ref="E39:J39"/>
    <mergeCell ref="E35:J35"/>
    <mergeCell ref="E38:J38"/>
    <mergeCell ref="B64:J64"/>
    <mergeCell ref="E32:J32"/>
    <mergeCell ref="B20:J20"/>
    <mergeCell ref="B45:J45"/>
    <mergeCell ref="E37:J37"/>
    <mergeCell ref="B56:J56"/>
    <mergeCell ref="D62:J62"/>
    <mergeCell ref="E40:J40"/>
    <mergeCell ref="E34:J34"/>
    <mergeCell ref="B2:J2"/>
    <mergeCell ref="B4:J4"/>
    <mergeCell ref="E33:J33"/>
    <mergeCell ref="B3:J3"/>
    <mergeCell ref="B31:J31"/>
    <mergeCell ref="B6:J6"/>
    <mergeCell ref="B17:J17"/>
  </mergeCells>
  <conditionalFormatting sqref="B47:E54">
    <cfRule type="expression" dxfId="94" priority="5">
      <formula>ROW()-46&gt;nA</formula>
    </cfRule>
  </conditionalFormatting>
  <conditionalFormatting sqref="B4:J4">
    <cfRule type="expression" dxfId="93" priority="1">
      <formula>1&gt;nC</formula>
    </cfRule>
  </conditionalFormatting>
  <conditionalFormatting sqref="B8:J15">
    <cfRule type="expression" dxfId="92" priority="2">
      <formula>OR(ROW()-7&gt;nA,COLUMN()-2&gt;nA)</formula>
    </cfRule>
  </conditionalFormatting>
  <conditionalFormatting sqref="B22:J29">
    <cfRule type="expression" dxfId="91" priority="3">
      <formula>OR(ROW()-21&gt;nA,COLUMN()-2&gt;nA)</formula>
    </cfRule>
  </conditionalFormatting>
  <conditionalFormatting sqref="B33:J40">
    <cfRule type="expression" dxfId="90" priority="4">
      <formula>ROW()-32&gt;nA</formula>
    </cfRule>
  </conditionalFormatting>
  <conditionalFormatting sqref="C62:J62">
    <cfRule type="expression" dxfId="89" priority="6">
      <formula>$C$61&lt;=0.1</formula>
    </cfRule>
    <cfRule type="expression" dxfId="88" priority="7">
      <formula>AND($C$61&gt;0.1,$C$61&lt;=0.2)</formula>
    </cfRule>
    <cfRule type="expression" dxfId="87" priority="8">
      <formula>$C$61&gt;0.2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8:J15" xr:uid="{00000000-0002-0000-03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B8A7D"/>
    <pageSetUpPr fitToPage="1"/>
  </sheetPr>
  <dimension ref="B2:M64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132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131</v>
      </c>
      <c r="C3" s="65"/>
      <c r="D3" s="65"/>
      <c r="E3" s="65"/>
      <c r="F3" s="65"/>
      <c r="G3" s="65"/>
      <c r="H3" s="65"/>
      <c r="I3" s="65"/>
      <c r="J3" s="65"/>
    </row>
    <row r="4" spans="2:13" ht="21.95" customHeight="1" x14ac:dyDescent="0.25">
      <c r="B4" s="102" t="str">
        <f>IF(2&gt;nC,"ESTA HOJA NO SE USA (solo definiste "&amp;nC&amp;" criterios)","Criterio 2: "&amp;INDEX(Configuracion!$C$13:$C$20,2))</f>
        <v>Criterio 2: Tiempo de entrega</v>
      </c>
      <c r="C4" s="72"/>
      <c r="D4" s="72"/>
      <c r="E4" s="72"/>
      <c r="F4" s="72"/>
      <c r="G4" s="72"/>
      <c r="H4" s="72"/>
      <c r="I4" s="72"/>
      <c r="J4" s="72"/>
    </row>
    <row r="6" spans="2:13" ht="20.100000000000001" customHeight="1" x14ac:dyDescent="0.25">
      <c r="B6" s="87" t="s">
        <v>94</v>
      </c>
      <c r="C6" s="88"/>
      <c r="D6" s="88"/>
      <c r="E6" s="88"/>
      <c r="F6" s="88"/>
      <c r="G6" s="88"/>
      <c r="H6" s="88"/>
      <c r="I6" s="88"/>
      <c r="J6" s="88"/>
      <c r="L6" s="19" t="s">
        <v>95</v>
      </c>
      <c r="M6" s="20" t="s">
        <v>96</v>
      </c>
    </row>
    <row r="7" spans="2:13" ht="32.1" customHeight="1" x14ac:dyDescent="0.25">
      <c r="B7" s="21" t="s">
        <v>97</v>
      </c>
      <c r="C7" s="21" t="str">
        <f>IF(1&gt;nA,"",INDEX(Configuracion!$E$13:$E$20,1))</f>
        <v>Nativas</v>
      </c>
      <c r="D7" s="21" t="str">
        <f>IF(2&gt;nA,"",INDEX(Configuracion!$E$13:$E$20,2))</f>
        <v>Multiplataforma</v>
      </c>
      <c r="E7" s="21" t="str">
        <f>IF(3&gt;nA,"",INDEX(Configuracion!$E$13:$E$20,3))</f>
        <v>Aplicación web</v>
      </c>
      <c r="F7" s="21" t="str">
        <f>IF(4&gt;nA,"",INDEX(Configuracion!$E$13:$E$20,4))</f>
        <v/>
      </c>
      <c r="G7" s="21" t="str">
        <f>IF(5&gt;nA,"",INDEX(Configuracion!$E$13:$E$20,5))</f>
        <v/>
      </c>
      <c r="H7" s="21" t="str">
        <f>IF(6&gt;nA,"",INDEX(Configuracion!$E$13:$E$20,6))</f>
        <v/>
      </c>
      <c r="I7" s="21" t="str">
        <f>IF(7&gt;nA,"",INDEX(Configuracion!$E$13:$E$20,7))</f>
        <v/>
      </c>
      <c r="J7" s="21" t="str">
        <f>IF(8&gt;nA,"",INDEX(Configuracion!$E$13:$E$20,8))</f>
        <v/>
      </c>
      <c r="L7" s="22" t="s">
        <v>3</v>
      </c>
      <c r="M7" s="6" t="s">
        <v>98</v>
      </c>
    </row>
    <row r="8" spans="2:13" ht="18" customHeight="1" x14ac:dyDescent="0.25">
      <c r="B8" s="23" t="str">
        <f>IF(1&gt;nA,"",INDEX(Configuracion!$E$13:$E$20,1))</f>
        <v>Nativas</v>
      </c>
      <c r="C8" s="24">
        <f>IF(1&gt;nA,"",1)</f>
        <v>1</v>
      </c>
      <c r="D8" s="25">
        <v>5</v>
      </c>
      <c r="E8" s="25">
        <v>2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L8" s="22" t="s">
        <v>9</v>
      </c>
      <c r="M8" s="6" t="s">
        <v>99</v>
      </c>
    </row>
    <row r="9" spans="2:13" ht="18" customHeight="1" x14ac:dyDescent="0.25">
      <c r="B9" s="23" t="str">
        <f>IF(2&gt;nA,"",INDEX(Configuracion!$E$13:$E$20,2))</f>
        <v>Multiplataforma</v>
      </c>
      <c r="C9" s="26">
        <f>IF(2&gt;nA,"",IF(D8="","",1/D8))</f>
        <v>0.2</v>
      </c>
      <c r="D9" s="24">
        <f>IF(2&gt;nA,"",1)</f>
        <v>1</v>
      </c>
      <c r="E9" s="25">
        <v>0.33333333333333331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L9" s="22" t="s">
        <v>15</v>
      </c>
      <c r="M9" s="6" t="s">
        <v>100</v>
      </c>
    </row>
    <row r="10" spans="2:13" ht="18" customHeight="1" x14ac:dyDescent="0.25">
      <c r="B10" s="23" t="str">
        <f>IF(3&gt;nA,"",INDEX(Configuracion!$E$13:$E$20,3))</f>
        <v>Aplicación web</v>
      </c>
      <c r="C10" s="26">
        <f>IF(3&gt;nA,"",IF(E8="","",1/E8))</f>
        <v>0.5</v>
      </c>
      <c r="D10" s="26">
        <f>IF(3&gt;nA,"",IF(E9="","",1/E9))</f>
        <v>3</v>
      </c>
      <c r="E10" s="24">
        <f>IF(3&gt;nA,"",1)</f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L10" s="22" t="s">
        <v>33</v>
      </c>
      <c r="M10" s="6" t="s">
        <v>101</v>
      </c>
    </row>
    <row r="11" spans="2:13" ht="18" customHeight="1" x14ac:dyDescent="0.25">
      <c r="B11" s="23" t="str">
        <f>IF(4&gt;nA,"",INDEX(Configuracion!$E$13:$E$20,4))</f>
        <v/>
      </c>
      <c r="C11" s="26" t="str">
        <f>IF(4&gt;nA,"",IF(F8="","",1/F8))</f>
        <v/>
      </c>
      <c r="D11" s="26" t="str">
        <f>IF(4&gt;nA,"",IF(F9="","",1/F9))</f>
        <v/>
      </c>
      <c r="E11" s="26" t="str">
        <f>IF(4&gt;nA,"",IF(F10="","",1/F10))</f>
        <v/>
      </c>
      <c r="F11" s="24" t="str">
        <f>IF(4&gt;nA,"",1)</f>
        <v/>
      </c>
      <c r="G11" s="25">
        <v>1</v>
      </c>
      <c r="H11" s="25">
        <v>1</v>
      </c>
      <c r="I11" s="25">
        <v>1</v>
      </c>
      <c r="J11" s="25">
        <v>1</v>
      </c>
      <c r="L11" s="22" t="s">
        <v>37</v>
      </c>
      <c r="M11" s="6" t="s">
        <v>102</v>
      </c>
    </row>
    <row r="12" spans="2:13" ht="18" customHeight="1" x14ac:dyDescent="0.25">
      <c r="B12" s="23" t="str">
        <f>IF(5&gt;nA,"",INDEX(Configuracion!$E$13:$E$20,5))</f>
        <v/>
      </c>
      <c r="C12" s="26" t="str">
        <f>IF(5&gt;nA,"",IF(G8="","",1/G8))</f>
        <v/>
      </c>
      <c r="D12" s="26" t="str">
        <f>IF(5&gt;nA,"",IF(G9="","",1/G9))</f>
        <v/>
      </c>
      <c r="E12" s="26" t="str">
        <f>IF(5&gt;nA,"",IF(G10="","",1/G10))</f>
        <v/>
      </c>
      <c r="F12" s="26" t="str">
        <f>IF(5&gt;nA,"",IF(G11="","",1/G11))</f>
        <v/>
      </c>
      <c r="G12" s="24" t="str">
        <f>IF(5&gt;nA,"",1)</f>
        <v/>
      </c>
      <c r="H12" s="25">
        <v>1</v>
      </c>
      <c r="I12" s="25">
        <v>1</v>
      </c>
      <c r="J12" s="25">
        <v>1</v>
      </c>
      <c r="L12" s="22" t="s">
        <v>103</v>
      </c>
      <c r="M12" s="6" t="s">
        <v>104</v>
      </c>
    </row>
    <row r="13" spans="2:13" ht="18" customHeight="1" x14ac:dyDescent="0.25">
      <c r="B13" s="23" t="str">
        <f>IF(6&gt;nA,"",INDEX(Configuracion!$E$13:$E$20,6))</f>
        <v/>
      </c>
      <c r="C13" s="26" t="str">
        <f>IF(6&gt;nA,"",IF(H8="","",1/H8))</f>
        <v/>
      </c>
      <c r="D13" s="26" t="str">
        <f>IF(6&gt;nA,"",IF(H9="","",1/H9))</f>
        <v/>
      </c>
      <c r="E13" s="26" t="str">
        <f>IF(6&gt;nA,"",IF(H10="","",1/H10))</f>
        <v/>
      </c>
      <c r="F13" s="26" t="str">
        <f>IF(6&gt;nA,"",IF(H11="","",1/H11))</f>
        <v/>
      </c>
      <c r="G13" s="26" t="str">
        <f>IF(6&gt;nA,"",IF(H12="","",1/H12))</f>
        <v/>
      </c>
      <c r="H13" s="24" t="str">
        <f>IF(6&gt;nA,"",1)</f>
        <v/>
      </c>
      <c r="I13" s="25">
        <v>1</v>
      </c>
      <c r="J13" s="25">
        <v>1</v>
      </c>
      <c r="L13" s="22" t="s">
        <v>105</v>
      </c>
      <c r="M13" s="6" t="s">
        <v>106</v>
      </c>
    </row>
    <row r="14" spans="2:13" ht="18" customHeight="1" x14ac:dyDescent="0.25">
      <c r="B14" s="23" t="str">
        <f>IF(7&gt;nA,"",INDEX(Configuracion!$E$13:$E$20,7))</f>
        <v/>
      </c>
      <c r="C14" s="26" t="str">
        <f>IF(7&gt;nA,"",IF(I8="","",1/I8))</f>
        <v/>
      </c>
      <c r="D14" s="26" t="str">
        <f>IF(7&gt;nA,"",IF(I9="","",1/I9))</f>
        <v/>
      </c>
      <c r="E14" s="26" t="str">
        <f>IF(7&gt;nA,"",IF(I10="","",1/I10))</f>
        <v/>
      </c>
      <c r="F14" s="26" t="str">
        <f>IF(7&gt;nA,"",IF(I11="","",1/I11))</f>
        <v/>
      </c>
      <c r="G14" s="26" t="str">
        <f>IF(7&gt;nA,"",IF(I12="","",1/I12))</f>
        <v/>
      </c>
      <c r="H14" s="26" t="str">
        <f>IF(7&gt;nA,"",IF(I13="","",1/I13))</f>
        <v/>
      </c>
      <c r="I14" s="24" t="str">
        <f>IF(7&gt;nA,"",1)</f>
        <v/>
      </c>
      <c r="J14" s="25">
        <v>1</v>
      </c>
      <c r="L14" s="22" t="s">
        <v>107</v>
      </c>
      <c r="M14" s="6" t="s">
        <v>108</v>
      </c>
    </row>
    <row r="15" spans="2:13" ht="18" customHeight="1" x14ac:dyDescent="0.25">
      <c r="B15" s="23" t="str">
        <f>IF(8&gt;nA,"",INDEX(Configuracion!$E$13:$E$20,8))</f>
        <v/>
      </c>
      <c r="C15" s="26" t="str">
        <f>IF(8&gt;nA,"",IF(J8="","",1/J8))</f>
        <v/>
      </c>
      <c r="D15" s="26" t="str">
        <f>IF(8&gt;nA,"",IF(J9="","",1/J9))</f>
        <v/>
      </c>
      <c r="E15" s="26" t="str">
        <f>IF(8&gt;nA,"",IF(J10="","",1/J10))</f>
        <v/>
      </c>
      <c r="F15" s="26" t="str">
        <f>IF(8&gt;nA,"",IF(J11="","",1/J11))</f>
        <v/>
      </c>
      <c r="G15" s="26" t="str">
        <f>IF(8&gt;nA,"",IF(J12="","",1/J12))</f>
        <v/>
      </c>
      <c r="H15" s="26" t="str">
        <f>IF(8&gt;nA,"",IF(J13="","",1/J13))</f>
        <v/>
      </c>
      <c r="I15" s="26" t="str">
        <f>IF(8&gt;nA,"",IF(J14="","",1/J14))</f>
        <v/>
      </c>
      <c r="J15" s="24" t="str">
        <f>IF(8&gt;nA,"",1)</f>
        <v/>
      </c>
    </row>
    <row r="16" spans="2:13" x14ac:dyDescent="0.25">
      <c r="L16" s="99" t="s">
        <v>109</v>
      </c>
      <c r="M16" s="65"/>
    </row>
    <row r="17" spans="2:13" ht="20.100000000000001" customHeight="1" x14ac:dyDescent="0.25">
      <c r="B17" s="87" t="s">
        <v>110</v>
      </c>
      <c r="C17" s="88"/>
      <c r="D17" s="88"/>
      <c r="E17" s="88"/>
      <c r="F17" s="88"/>
      <c r="G17" s="88"/>
      <c r="H17" s="88"/>
      <c r="I17" s="88"/>
      <c r="J17" s="88"/>
      <c r="L17" s="65"/>
      <c r="M17" s="65"/>
    </row>
    <row r="18" spans="2:13" x14ac:dyDescent="0.25">
      <c r="B18" s="23" t="s">
        <v>111</v>
      </c>
      <c r="C18" s="27">
        <f>IF(1&gt;nA,"",SUM(INDEX(C$8:C$15,1):INDEX(C$8:C$15,nA)))</f>
        <v>1.7</v>
      </c>
      <c r="D18" s="27">
        <f>IF(2&gt;nA,"",SUM(INDEX(D$8:D$15,1):INDEX(D$8:D$15,nA)))</f>
        <v>9</v>
      </c>
      <c r="E18" s="27">
        <f>IF(3&gt;nA,"",SUM(INDEX(E$8:E$15,1):INDEX(E$8:E$15,nA)))</f>
        <v>3.3333333333333335</v>
      </c>
      <c r="F18" s="27" t="str">
        <f>IF(4&gt;nA,"",SUM(INDEX(F$8:F$15,1):INDEX(F$8:F$15,nA)))</f>
        <v/>
      </c>
      <c r="G18" s="27" t="str">
        <f>IF(5&gt;nA,"",SUM(INDEX(G$8:G$15,1):INDEX(G$8:G$15,nA)))</f>
        <v/>
      </c>
      <c r="H18" s="27" t="str">
        <f>IF(6&gt;nA,"",SUM(INDEX(H$8:H$15,1):INDEX(H$8:H$15,nA)))</f>
        <v/>
      </c>
      <c r="I18" s="27" t="str">
        <f>IF(7&gt;nA,"",SUM(INDEX(I$8:I$15,1):INDEX(I$8:I$15,nA)))</f>
        <v/>
      </c>
      <c r="J18" s="27" t="str">
        <f>IF(8&gt;nA,"",SUM(INDEX(J$8:J$15,1):INDEX(J$8:J$15,nA)))</f>
        <v/>
      </c>
      <c r="L18" s="65"/>
      <c r="M18" s="65"/>
    </row>
    <row r="20" spans="2:13" ht="20.100000000000001" customHeight="1" x14ac:dyDescent="0.25">
      <c r="B20" s="87" t="s">
        <v>112</v>
      </c>
      <c r="C20" s="88"/>
      <c r="D20" s="88"/>
      <c r="E20" s="88"/>
      <c r="F20" s="88"/>
      <c r="G20" s="88"/>
      <c r="H20" s="88"/>
      <c r="I20" s="88"/>
      <c r="J20" s="88"/>
    </row>
    <row r="21" spans="2:13" ht="32.1" customHeight="1" x14ac:dyDescent="0.25">
      <c r="B21" s="21" t="s">
        <v>97</v>
      </c>
      <c r="C21" s="21" t="str">
        <f>IF(1&gt;nA,"",INDEX(Configuracion!$E$13:$E$20,1))</f>
        <v>Nativas</v>
      </c>
      <c r="D21" s="21" t="str">
        <f>IF(2&gt;nA,"",INDEX(Configuracion!$E$13:$E$20,2))</f>
        <v>Multiplataforma</v>
      </c>
      <c r="E21" s="21" t="str">
        <f>IF(3&gt;nA,"",INDEX(Configuracion!$E$13:$E$20,3))</f>
        <v>Aplicación web</v>
      </c>
      <c r="F21" s="21" t="str">
        <f>IF(4&gt;nA,"",INDEX(Configuracion!$E$13:$E$20,4))</f>
        <v/>
      </c>
      <c r="G21" s="21" t="str">
        <f>IF(5&gt;nA,"",INDEX(Configuracion!$E$13:$E$20,5))</f>
        <v/>
      </c>
      <c r="H21" s="21" t="str">
        <f>IF(6&gt;nA,"",INDEX(Configuracion!$E$13:$E$20,6))</f>
        <v/>
      </c>
      <c r="I21" s="21" t="str">
        <f>IF(7&gt;nA,"",INDEX(Configuracion!$E$13:$E$20,7))</f>
        <v/>
      </c>
      <c r="J21" s="21" t="str">
        <f>IF(8&gt;nA,"",INDEX(Configuracion!$E$13:$E$20,8))</f>
        <v/>
      </c>
    </row>
    <row r="22" spans="2:13" ht="18" customHeight="1" x14ac:dyDescent="0.25">
      <c r="B22" s="23" t="str">
        <f>IF(1&gt;nA,"",INDEX(Configuracion!$E$13:$E$20,1))</f>
        <v>Nativas</v>
      </c>
      <c r="C22" s="28">
        <f>IF(OR(1&gt;nA,1&gt;nA),"",C8/C$18)</f>
        <v>0.58823529411764708</v>
      </c>
      <c r="D22" s="28">
        <f>IF(OR(1&gt;nA,2&gt;nA),"",D8/D$18)</f>
        <v>0.55555555555555558</v>
      </c>
      <c r="E22" s="28">
        <f>IF(OR(1&gt;nA,3&gt;nA),"",E8/E$18)</f>
        <v>0.6</v>
      </c>
      <c r="F22" s="28" t="str">
        <f>IF(OR(1&gt;nA,4&gt;nA),"",F8/F$18)</f>
        <v/>
      </c>
      <c r="G22" s="28" t="str">
        <f>IF(OR(1&gt;nA,5&gt;nA),"",G8/G$18)</f>
        <v/>
      </c>
      <c r="H22" s="28" t="str">
        <f>IF(OR(1&gt;nA,6&gt;nA),"",H8/H$18)</f>
        <v/>
      </c>
      <c r="I22" s="28" t="str">
        <f>IF(OR(1&gt;nA,7&gt;nA),"",I8/I$18)</f>
        <v/>
      </c>
      <c r="J22" s="28" t="str">
        <f>IF(OR(1&gt;nA,8&gt;nA),"",J8/J$18)</f>
        <v/>
      </c>
    </row>
    <row r="23" spans="2:13" ht="18" customHeight="1" x14ac:dyDescent="0.25">
      <c r="B23" s="23" t="str">
        <f>IF(2&gt;nA,"",INDEX(Configuracion!$E$13:$E$20,2))</f>
        <v>Multiplataforma</v>
      </c>
      <c r="C23" s="28">
        <f>IF(OR(2&gt;nA,1&gt;nA),"",C9/C$18)</f>
        <v>0.11764705882352942</v>
      </c>
      <c r="D23" s="28">
        <f>IF(OR(2&gt;nA,2&gt;nA),"",D9/D$18)</f>
        <v>0.1111111111111111</v>
      </c>
      <c r="E23" s="28">
        <f>IF(OR(2&gt;nA,3&gt;nA),"",E9/E$18)</f>
        <v>9.9999999999999992E-2</v>
      </c>
      <c r="F23" s="28" t="str">
        <f>IF(OR(2&gt;nA,4&gt;nA),"",F9/F$18)</f>
        <v/>
      </c>
      <c r="G23" s="28" t="str">
        <f>IF(OR(2&gt;nA,5&gt;nA),"",G9/G$18)</f>
        <v/>
      </c>
      <c r="H23" s="28" t="str">
        <f>IF(OR(2&gt;nA,6&gt;nA),"",H9/H$18)</f>
        <v/>
      </c>
      <c r="I23" s="28" t="str">
        <f>IF(OR(2&gt;nA,7&gt;nA),"",I9/I$18)</f>
        <v/>
      </c>
      <c r="J23" s="28" t="str">
        <f>IF(OR(2&gt;nA,8&gt;nA),"",J9/J$18)</f>
        <v/>
      </c>
    </row>
    <row r="24" spans="2:13" ht="18" customHeight="1" x14ac:dyDescent="0.25">
      <c r="B24" s="23" t="str">
        <f>IF(3&gt;nA,"",INDEX(Configuracion!$E$13:$E$20,3))</f>
        <v>Aplicación web</v>
      </c>
      <c r="C24" s="28">
        <f>IF(OR(3&gt;nA,1&gt;nA),"",C10/C$18)</f>
        <v>0.29411764705882354</v>
      </c>
      <c r="D24" s="28">
        <f>IF(OR(3&gt;nA,2&gt;nA),"",D10/D$18)</f>
        <v>0.33333333333333331</v>
      </c>
      <c r="E24" s="28">
        <f>IF(OR(3&gt;nA,3&gt;nA),"",E10/E$18)</f>
        <v>0.3</v>
      </c>
      <c r="F24" s="28" t="str">
        <f>IF(OR(3&gt;nA,4&gt;nA),"",F10/F$18)</f>
        <v/>
      </c>
      <c r="G24" s="28" t="str">
        <f>IF(OR(3&gt;nA,5&gt;nA),"",G10/G$18)</f>
        <v/>
      </c>
      <c r="H24" s="28" t="str">
        <f>IF(OR(3&gt;nA,6&gt;nA),"",H10/H$18)</f>
        <v/>
      </c>
      <c r="I24" s="28" t="str">
        <f>IF(OR(3&gt;nA,7&gt;nA),"",I10/I$18)</f>
        <v/>
      </c>
      <c r="J24" s="28" t="str">
        <f>IF(OR(3&gt;nA,8&gt;nA),"",J10/J$18)</f>
        <v/>
      </c>
    </row>
    <row r="25" spans="2:13" ht="18" customHeight="1" x14ac:dyDescent="0.25">
      <c r="B25" s="23" t="str">
        <f>IF(4&gt;nA,"",INDEX(Configuracion!$E$13:$E$20,4))</f>
        <v/>
      </c>
      <c r="C25" s="28" t="str">
        <f>IF(OR(4&gt;nA,1&gt;nA),"",C11/C$18)</f>
        <v/>
      </c>
      <c r="D25" s="28" t="str">
        <f>IF(OR(4&gt;nA,2&gt;nA),"",D11/D$18)</f>
        <v/>
      </c>
      <c r="E25" s="28" t="str">
        <f>IF(OR(4&gt;nA,3&gt;nA),"",E11/E$18)</f>
        <v/>
      </c>
      <c r="F25" s="28" t="str">
        <f>IF(OR(4&gt;nA,4&gt;nA),"",F11/F$18)</f>
        <v/>
      </c>
      <c r="G25" s="28" t="str">
        <f>IF(OR(4&gt;nA,5&gt;nA),"",G11/G$18)</f>
        <v/>
      </c>
      <c r="H25" s="28" t="str">
        <f>IF(OR(4&gt;nA,6&gt;nA),"",H11/H$18)</f>
        <v/>
      </c>
      <c r="I25" s="28" t="str">
        <f>IF(OR(4&gt;nA,7&gt;nA),"",I11/I$18)</f>
        <v/>
      </c>
      <c r="J25" s="28" t="str">
        <f>IF(OR(4&gt;nA,8&gt;nA),"",J11/J$18)</f>
        <v/>
      </c>
    </row>
    <row r="26" spans="2:13" ht="18" customHeight="1" x14ac:dyDescent="0.25">
      <c r="B26" s="23" t="str">
        <f>IF(5&gt;nA,"",INDEX(Configuracion!$E$13:$E$20,5))</f>
        <v/>
      </c>
      <c r="C26" s="28" t="str">
        <f>IF(OR(5&gt;nA,1&gt;nA),"",C12/C$18)</f>
        <v/>
      </c>
      <c r="D26" s="28" t="str">
        <f>IF(OR(5&gt;nA,2&gt;nA),"",D12/D$18)</f>
        <v/>
      </c>
      <c r="E26" s="28" t="str">
        <f>IF(OR(5&gt;nA,3&gt;nA),"",E12/E$18)</f>
        <v/>
      </c>
      <c r="F26" s="28" t="str">
        <f>IF(OR(5&gt;nA,4&gt;nA),"",F12/F$18)</f>
        <v/>
      </c>
      <c r="G26" s="28" t="str">
        <f>IF(OR(5&gt;nA,5&gt;nA),"",G12/G$18)</f>
        <v/>
      </c>
      <c r="H26" s="28" t="str">
        <f>IF(OR(5&gt;nA,6&gt;nA),"",H12/H$18)</f>
        <v/>
      </c>
      <c r="I26" s="28" t="str">
        <f>IF(OR(5&gt;nA,7&gt;nA),"",I12/I$18)</f>
        <v/>
      </c>
      <c r="J26" s="28" t="str">
        <f>IF(OR(5&gt;nA,8&gt;nA),"",J12/J$18)</f>
        <v/>
      </c>
    </row>
    <row r="27" spans="2:13" ht="18" customHeight="1" x14ac:dyDescent="0.25">
      <c r="B27" s="23" t="str">
        <f>IF(6&gt;nA,"",INDEX(Configuracion!$E$13:$E$20,6))</f>
        <v/>
      </c>
      <c r="C27" s="28" t="str">
        <f>IF(OR(6&gt;nA,1&gt;nA),"",C13/C$18)</f>
        <v/>
      </c>
      <c r="D27" s="28" t="str">
        <f>IF(OR(6&gt;nA,2&gt;nA),"",D13/D$18)</f>
        <v/>
      </c>
      <c r="E27" s="28" t="str">
        <f>IF(OR(6&gt;nA,3&gt;nA),"",E13/E$18)</f>
        <v/>
      </c>
      <c r="F27" s="28" t="str">
        <f>IF(OR(6&gt;nA,4&gt;nA),"",F13/F$18)</f>
        <v/>
      </c>
      <c r="G27" s="28" t="str">
        <f>IF(OR(6&gt;nA,5&gt;nA),"",G13/G$18)</f>
        <v/>
      </c>
      <c r="H27" s="28" t="str">
        <f>IF(OR(6&gt;nA,6&gt;nA),"",H13/H$18)</f>
        <v/>
      </c>
      <c r="I27" s="28" t="str">
        <f>IF(OR(6&gt;nA,7&gt;nA),"",I13/I$18)</f>
        <v/>
      </c>
      <c r="J27" s="28" t="str">
        <f>IF(OR(6&gt;nA,8&gt;nA),"",J13/J$18)</f>
        <v/>
      </c>
    </row>
    <row r="28" spans="2:13" ht="18" customHeight="1" x14ac:dyDescent="0.25">
      <c r="B28" s="23" t="str">
        <f>IF(7&gt;nA,"",INDEX(Configuracion!$E$13:$E$20,7))</f>
        <v/>
      </c>
      <c r="C28" s="28" t="str">
        <f>IF(OR(7&gt;nA,1&gt;nA),"",C14/C$18)</f>
        <v/>
      </c>
      <c r="D28" s="28" t="str">
        <f>IF(OR(7&gt;nA,2&gt;nA),"",D14/D$18)</f>
        <v/>
      </c>
      <c r="E28" s="28" t="str">
        <f>IF(OR(7&gt;nA,3&gt;nA),"",E14/E$18)</f>
        <v/>
      </c>
      <c r="F28" s="28" t="str">
        <f>IF(OR(7&gt;nA,4&gt;nA),"",F14/F$18)</f>
        <v/>
      </c>
      <c r="G28" s="28" t="str">
        <f>IF(OR(7&gt;nA,5&gt;nA),"",G14/G$18)</f>
        <v/>
      </c>
      <c r="H28" s="28" t="str">
        <f>IF(OR(7&gt;nA,6&gt;nA),"",H14/H$18)</f>
        <v/>
      </c>
      <c r="I28" s="28" t="str">
        <f>IF(OR(7&gt;nA,7&gt;nA),"",I14/I$18)</f>
        <v/>
      </c>
      <c r="J28" s="28" t="str">
        <f>IF(OR(7&gt;nA,8&gt;nA),"",J14/J$18)</f>
        <v/>
      </c>
    </row>
    <row r="29" spans="2:13" ht="18" customHeight="1" x14ac:dyDescent="0.25">
      <c r="B29" s="23" t="str">
        <f>IF(8&gt;nA,"",INDEX(Configuracion!$E$13:$E$20,8))</f>
        <v/>
      </c>
      <c r="C29" s="28" t="str">
        <f>IF(OR(8&gt;nA,1&gt;nA),"",C15/C$18)</f>
        <v/>
      </c>
      <c r="D29" s="28" t="str">
        <f>IF(OR(8&gt;nA,2&gt;nA),"",D15/D$18)</f>
        <v/>
      </c>
      <c r="E29" s="28" t="str">
        <f>IF(OR(8&gt;nA,3&gt;nA),"",E15/E$18)</f>
        <v/>
      </c>
      <c r="F29" s="28" t="str">
        <f>IF(OR(8&gt;nA,4&gt;nA),"",F15/F$18)</f>
        <v/>
      </c>
      <c r="G29" s="28" t="str">
        <f>IF(OR(8&gt;nA,5&gt;nA),"",G15/G$18)</f>
        <v/>
      </c>
      <c r="H29" s="28" t="str">
        <f>IF(OR(8&gt;nA,6&gt;nA),"",H15/H$18)</f>
        <v/>
      </c>
      <c r="I29" s="28" t="str">
        <f>IF(OR(8&gt;nA,7&gt;nA),"",I15/I$18)</f>
        <v/>
      </c>
      <c r="J29" s="28" t="str">
        <f>IF(OR(8&gt;nA,8&gt;nA),"",J15/J$18)</f>
        <v/>
      </c>
    </row>
    <row r="31" spans="2:13" ht="20.100000000000001" customHeight="1" x14ac:dyDescent="0.25">
      <c r="B31" s="87" t="s">
        <v>113</v>
      </c>
      <c r="C31" s="88"/>
      <c r="D31" s="88"/>
      <c r="E31" s="88"/>
      <c r="F31" s="88"/>
      <c r="G31" s="88"/>
      <c r="H31" s="88"/>
      <c r="I31" s="88"/>
      <c r="J31" s="88"/>
    </row>
    <row r="32" spans="2:13" x14ac:dyDescent="0.25">
      <c r="B32" s="3" t="s">
        <v>114</v>
      </c>
      <c r="C32" s="3" t="s">
        <v>115</v>
      </c>
      <c r="D32" s="3" t="s">
        <v>116</v>
      </c>
      <c r="E32" s="100" t="s">
        <v>117</v>
      </c>
      <c r="F32" s="101"/>
      <c r="G32" s="101"/>
      <c r="H32" s="101"/>
      <c r="I32" s="101"/>
      <c r="J32" s="101"/>
    </row>
    <row r="33" spans="2:10" ht="18" customHeight="1" x14ac:dyDescent="0.25">
      <c r="B33" s="23" t="str">
        <f>IF(1&gt;nA,"",INDEX(Configuracion!$E$13:$E$20,1))</f>
        <v>Nativas</v>
      </c>
      <c r="C33" s="29">
        <f>IF(1&gt;nA,"",AVERAGE(INDEX($C22:$J22,1):INDEX($C22:$J22,nA)))</f>
        <v>0.58126361655773418</v>
      </c>
      <c r="D33" s="30">
        <f>IF(1&gt;nA,"",C33)</f>
        <v>0.58126361655773418</v>
      </c>
      <c r="E33" s="98" t="str">
        <f>IF(1&gt;nA,"","De cada 100 puntos de importancia, este se lleva "&amp;TEXT(C33*100,"0,0")&amp;".")</f>
        <v>De cada 100 puntos de importancia, este se lleva 58.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IF(2&gt;nA,"",INDEX(Configuracion!$E$13:$E$20,2))</f>
        <v>Multiplataforma</v>
      </c>
      <c r="C34" s="29">
        <f>IF(2&gt;nA,"",AVERAGE(INDEX($C23:$J23,1):INDEX($C23:$J23,nA)))</f>
        <v>0.10958605664488018</v>
      </c>
      <c r="D34" s="30">
        <f>IF(2&gt;nA,"",C34)</f>
        <v>0.10958605664488018</v>
      </c>
      <c r="E34" s="98" t="str">
        <f>IF(2&gt;nA,"","De cada 100 puntos de importancia, este se lleva "&amp;TEXT(C34*100,"0,0")&amp;".")</f>
        <v>De cada 100 puntos de importancia, este se lleva 11.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IF(3&gt;nA,"",INDEX(Configuracion!$E$13:$E$20,3))</f>
        <v>Aplicación web</v>
      </c>
      <c r="C35" s="29">
        <f>IF(3&gt;nA,"",AVERAGE(INDEX($C24:$J24,1):INDEX($C24:$J24,nA)))</f>
        <v>0.30915032679738563</v>
      </c>
      <c r="D35" s="30">
        <f>IF(3&gt;nA,"",C35)</f>
        <v>0.30915032679738563</v>
      </c>
      <c r="E35" s="98" t="str">
        <f>IF(3&gt;nA,"","De cada 100 puntos de importancia, este se lleva "&amp;TEXT(C35*100,"0,0")&amp;".")</f>
        <v>De cada 100 puntos de importancia, este se lleva 31.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IF(4&gt;nA,"",INDEX(Configuracion!$E$13:$E$20,4))</f>
        <v/>
      </c>
      <c r="C36" s="29" t="str">
        <f>IF(4&gt;nA,"",AVERAGE(INDEX($C25:$J25,1):INDEX($C25:$J25,nA)))</f>
        <v/>
      </c>
      <c r="D36" s="30" t="str">
        <f>IF(4&gt;nA,"",C36)</f>
        <v/>
      </c>
      <c r="E36" s="98" t="str">
        <f>IF(4&gt;nA,"","De cada 100 puntos de importancia, este se lleva "&amp;TEXT(C36*100,"0,0")&amp;".")</f>
        <v/>
      </c>
      <c r="F36" s="63"/>
      <c r="G36" s="63"/>
      <c r="H36" s="63"/>
      <c r="I36" s="63"/>
      <c r="J36" s="63"/>
    </row>
    <row r="37" spans="2:10" ht="18" customHeight="1" x14ac:dyDescent="0.25">
      <c r="B37" s="23" t="str">
        <f>IF(5&gt;nA,"",INDEX(Configuracion!$E$13:$E$20,5))</f>
        <v/>
      </c>
      <c r="C37" s="29" t="str">
        <f>IF(5&gt;nA,"",AVERAGE(INDEX($C26:$J26,1):INDEX($C26:$J26,nA)))</f>
        <v/>
      </c>
      <c r="D37" s="30" t="str">
        <f>IF(5&gt;nA,"",C37)</f>
        <v/>
      </c>
      <c r="E37" s="98" t="str">
        <f>IF(5&gt;nA,"","De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IF(6&gt;nA,"",INDEX(Configuracion!$E$13:$E$20,6))</f>
        <v/>
      </c>
      <c r="C38" s="29" t="str">
        <f>IF(6&gt;nA,"",AVERAGE(INDEX($C27:$J27,1):INDEX($C27:$J27,nA)))</f>
        <v/>
      </c>
      <c r="D38" s="30" t="str">
        <f>IF(6&gt;nA,"",C38)</f>
        <v/>
      </c>
      <c r="E38" s="98" t="str">
        <f>IF(6&gt;nA,"","De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IF(7&gt;nA,"",INDEX(Configuracion!$E$13:$E$20,7))</f>
        <v/>
      </c>
      <c r="C39" s="29" t="str">
        <f>IF(7&gt;nA,"",AVERAGE(INDEX($C28:$J28,1):INDEX($C28:$J28,nA)))</f>
        <v/>
      </c>
      <c r="D39" s="30" t="str">
        <f>IF(7&gt;nA,"",C39)</f>
        <v/>
      </c>
      <c r="E39" s="98" t="str">
        <f>IF(7&gt;nA,"","De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ht="18" customHeight="1" x14ac:dyDescent="0.25">
      <c r="B40" s="23" t="str">
        <f>IF(8&gt;nA,"",INDEX(Configuracion!$E$13:$E$20,8))</f>
        <v/>
      </c>
      <c r="C40" s="29" t="str">
        <f>IF(8&gt;nA,"",AVERAGE(INDEX($C29:$J29,1):INDEX($C29:$J29,nA)))</f>
        <v/>
      </c>
      <c r="D40" s="30" t="str">
        <f>IF(8&gt;nA,"",C40)</f>
        <v/>
      </c>
      <c r="E40" s="98" t="str">
        <f>IF(8&gt;nA,"","De cada 100 puntos de importancia, este se lleva "&amp;TEXT(C40*100,"0,0")&amp;".")</f>
        <v/>
      </c>
      <c r="F40" s="63"/>
      <c r="G40" s="63"/>
      <c r="H40" s="63"/>
      <c r="I40" s="63"/>
      <c r="J40" s="63"/>
    </row>
    <row r="41" spans="2:10" x14ac:dyDescent="0.25">
      <c r="B41" s="31" t="s">
        <v>118</v>
      </c>
      <c r="C41" s="32">
        <f>SUM(INDEX($C$33:$C$40,1):INDEX($C$33:$C$40,nA))</f>
        <v>1</v>
      </c>
    </row>
    <row r="43" spans="2:10" x14ac:dyDescent="0.25">
      <c r="B43" s="33" t="s">
        <v>119</v>
      </c>
      <c r="C43" s="34">
        <f>IF(1&gt;nA,"",$C$33)</f>
        <v>0.58126361655773418</v>
      </c>
      <c r="D43" s="34">
        <f>IF(2&gt;nA,"",$C$34)</f>
        <v>0.10958605664488018</v>
      </c>
      <c r="E43" s="34">
        <f>IF(3&gt;nA,"",$C$35)</f>
        <v>0.30915032679738563</v>
      </c>
      <c r="F43" s="34" t="str">
        <f>IF(4&gt;nA,"",$C$36)</f>
        <v/>
      </c>
      <c r="G43" s="34" t="str">
        <f>IF(5&gt;nA,"",$C$37)</f>
        <v/>
      </c>
      <c r="H43" s="34" t="str">
        <f>IF(6&gt;nA,"",$C$38)</f>
        <v/>
      </c>
      <c r="I43" s="34" t="str">
        <f>IF(7&gt;nA,"",$C$39)</f>
        <v/>
      </c>
      <c r="J43" s="34" t="str">
        <f>IF(8&gt;nA,"",$C$40)</f>
        <v/>
      </c>
    </row>
    <row r="45" spans="2:10" ht="20.100000000000001" customHeight="1" x14ac:dyDescent="0.25">
      <c r="B45" s="87" t="s">
        <v>120</v>
      </c>
      <c r="C45" s="88"/>
      <c r="D45" s="88"/>
      <c r="E45" s="88"/>
      <c r="F45" s="88"/>
      <c r="G45" s="88"/>
      <c r="H45" s="88"/>
      <c r="I45" s="88"/>
      <c r="J45" s="88"/>
    </row>
    <row r="46" spans="2:10" ht="27.95" customHeight="1" x14ac:dyDescent="0.25">
      <c r="B46" s="35" t="s">
        <v>114</v>
      </c>
      <c r="C46" s="35" t="s">
        <v>121</v>
      </c>
      <c r="D46" s="35" t="s">
        <v>115</v>
      </c>
      <c r="E46" s="35" t="s">
        <v>122</v>
      </c>
    </row>
    <row r="47" spans="2:10" ht="18" customHeight="1" x14ac:dyDescent="0.25">
      <c r="B47" s="23" t="str">
        <f>IF(1&gt;nA,"",INDEX(Configuracion!$E$13:$E$20,1))</f>
        <v>Nativas</v>
      </c>
      <c r="C47" s="28">
        <f>IF(1&gt;nA,"",SUMPRODUCT(INDEX($C8:$J8,1):INDEX($C8:$J8,nA),INDEX($C$43:$J$43,1):INDEX($C$43:$J$43,nA)))</f>
        <v>1.7474945533769062</v>
      </c>
      <c r="D47" s="28">
        <f>IF(1&gt;nA,"",$C$33)</f>
        <v>0.58126361655773418</v>
      </c>
      <c r="E47" s="36">
        <f>IF(1&gt;nA,"",C47/D47)</f>
        <v>3.0063718140929536</v>
      </c>
    </row>
    <row r="48" spans="2:10" ht="18" customHeight="1" x14ac:dyDescent="0.25">
      <c r="B48" s="23" t="str">
        <f>IF(2&gt;nA,"",INDEX(Configuracion!$E$13:$E$20,2))</f>
        <v>Multiplataforma</v>
      </c>
      <c r="C48" s="28">
        <f>IF(2&gt;nA,"",SUMPRODUCT(INDEX($C9:$J9,1):INDEX($C9:$J9,nA),INDEX($C$43:$J$43,1):INDEX($C$43:$J$43,nA)))</f>
        <v>0.3288888888888889</v>
      </c>
      <c r="D48" s="28">
        <f>IF(2&gt;nA,"",$C$34)</f>
        <v>0.10958605664488018</v>
      </c>
      <c r="E48" s="36">
        <f>IF(2&gt;nA,"",C48/D48)</f>
        <v>3.0011928429423458</v>
      </c>
    </row>
    <row r="49" spans="2:10" ht="18" customHeight="1" x14ac:dyDescent="0.25">
      <c r="B49" s="23" t="str">
        <f>IF(3&gt;nA,"",INDEX(Configuracion!$E$13:$E$20,3))</f>
        <v>Aplicación web</v>
      </c>
      <c r="C49" s="28">
        <f>IF(3&gt;nA,"",SUMPRODUCT(INDEX($C10:$J10,1):INDEX($C10:$J10,nA),INDEX($C$43:$J$43,1):INDEX($C$43:$J$43,nA)))</f>
        <v>0.92854030501089324</v>
      </c>
      <c r="D49" s="28">
        <f>IF(3&gt;nA,"",$C$35)</f>
        <v>0.30915032679738563</v>
      </c>
      <c r="E49" s="36">
        <f>IF(3&gt;nA,"",C49/D49)</f>
        <v>3.0035236081747709</v>
      </c>
    </row>
    <row r="50" spans="2:10" ht="18" customHeight="1" x14ac:dyDescent="0.25">
      <c r="B50" s="23" t="str">
        <f>IF(4&gt;nA,"",INDEX(Configuracion!$E$13:$E$20,4))</f>
        <v/>
      </c>
      <c r="C50" s="28" t="str">
        <f>IF(4&gt;nA,"",SUMPRODUCT(INDEX($C11:$J11,1):INDEX($C11:$J11,nA),INDEX($C$43:$J$43,1):INDEX($C$43:$J$43,nA)))</f>
        <v/>
      </c>
      <c r="D50" s="28" t="str">
        <f>IF(4&gt;nA,"",$C$36)</f>
        <v/>
      </c>
      <c r="E50" s="36" t="str">
        <f>IF(4&gt;nA,"",C50/D50)</f>
        <v/>
      </c>
    </row>
    <row r="51" spans="2:10" ht="18" customHeight="1" x14ac:dyDescent="0.25">
      <c r="B51" s="23" t="str">
        <f>IF(5&gt;nA,"",INDEX(Configuracion!$E$13:$E$20,5))</f>
        <v/>
      </c>
      <c r="C51" s="28" t="str">
        <f>IF(5&gt;nA,"",SUMPRODUCT(INDEX($C12:$J12,1):INDEX($C12:$J12,nA),INDEX($C$43:$J$43,1):INDEX($C$43:$J$43,nA)))</f>
        <v/>
      </c>
      <c r="D51" s="28" t="str">
        <f>IF(5&gt;nA,"",$C$37)</f>
        <v/>
      </c>
      <c r="E51" s="36" t="str">
        <f>IF(5&gt;nA,"",C51/D51)</f>
        <v/>
      </c>
    </row>
    <row r="52" spans="2:10" ht="18" customHeight="1" x14ac:dyDescent="0.25">
      <c r="B52" s="23" t="str">
        <f>IF(6&gt;nA,"",INDEX(Configuracion!$E$13:$E$20,6))</f>
        <v/>
      </c>
      <c r="C52" s="28" t="str">
        <f>IF(6&gt;nA,"",SUMPRODUCT(INDEX($C13:$J13,1):INDEX($C13:$J13,nA),INDEX($C$43:$J$43,1):INDEX($C$43:$J$43,nA)))</f>
        <v/>
      </c>
      <c r="D52" s="28" t="str">
        <f>IF(6&gt;nA,"",$C$38)</f>
        <v/>
      </c>
      <c r="E52" s="36" t="str">
        <f>IF(6&gt;nA,"",C52/D52)</f>
        <v/>
      </c>
    </row>
    <row r="53" spans="2:10" ht="18" customHeight="1" x14ac:dyDescent="0.25">
      <c r="B53" s="23" t="str">
        <f>IF(7&gt;nA,"",INDEX(Configuracion!$E$13:$E$20,7))</f>
        <v/>
      </c>
      <c r="C53" s="28" t="str">
        <f>IF(7&gt;nA,"",SUMPRODUCT(INDEX($C14:$J14,1):INDEX($C14:$J14,nA),INDEX($C$43:$J$43,1):INDEX($C$43:$J$43,nA)))</f>
        <v/>
      </c>
      <c r="D53" s="28" t="str">
        <f>IF(7&gt;nA,"",$C$39)</f>
        <v/>
      </c>
      <c r="E53" s="36" t="str">
        <f>IF(7&gt;nA,"",C53/D53)</f>
        <v/>
      </c>
    </row>
    <row r="54" spans="2:10" ht="18" customHeight="1" x14ac:dyDescent="0.25">
      <c r="B54" s="23" t="str">
        <f>IF(8&gt;nA,"",INDEX(Configuracion!$E$13:$E$20,8))</f>
        <v/>
      </c>
      <c r="C54" s="28" t="str">
        <f>IF(8&gt;nA,"",SUMPRODUCT(INDEX($C15:$J15,1):INDEX($C15:$J15,nA),INDEX($C$43:$J$43,1):INDEX($C$43:$J$43,nA)))</f>
        <v/>
      </c>
      <c r="D54" s="28" t="str">
        <f>IF(8&gt;nA,"",$C$40)</f>
        <v/>
      </c>
      <c r="E54" s="36" t="str">
        <f>IF(8&gt;nA,"",C54/D54)</f>
        <v/>
      </c>
    </row>
    <row r="56" spans="2:10" ht="20.100000000000001" customHeight="1" x14ac:dyDescent="0.25">
      <c r="B56" s="85" t="s">
        <v>123</v>
      </c>
      <c r="C56" s="86"/>
      <c r="D56" s="86"/>
      <c r="E56" s="86"/>
      <c r="F56" s="86"/>
      <c r="G56" s="86"/>
      <c r="H56" s="86"/>
      <c r="I56" s="86"/>
      <c r="J56" s="86"/>
    </row>
    <row r="57" spans="2:10" x14ac:dyDescent="0.25">
      <c r="B57" s="37" t="s">
        <v>124</v>
      </c>
      <c r="C57" s="38">
        <f>AVERAGE(INDEX($E$47:$E$54,1):INDEX($E$47:$E$54,nA))</f>
        <v>3.0036960884033568</v>
      </c>
    </row>
    <row r="58" spans="2:10" x14ac:dyDescent="0.25">
      <c r="B58" s="37" t="s">
        <v>125</v>
      </c>
      <c r="C58" s="39">
        <f>nA</f>
        <v>3</v>
      </c>
    </row>
    <row r="59" spans="2:10" x14ac:dyDescent="0.25">
      <c r="B59" s="37" t="s">
        <v>126</v>
      </c>
      <c r="C59" s="38">
        <f>IF(nA&lt;2,0,(C57-C58)/(C58-1))</f>
        <v>1.8480442016783893E-3</v>
      </c>
    </row>
    <row r="60" spans="2:10" x14ac:dyDescent="0.25">
      <c r="B60" s="37" t="s">
        <v>127</v>
      </c>
      <c r="C60" s="40">
        <f>INDEX(RI_tabla,nA)</f>
        <v>0.57999999999999996</v>
      </c>
    </row>
    <row r="61" spans="2:10" ht="15.75" x14ac:dyDescent="0.25">
      <c r="B61" s="41" t="s">
        <v>128</v>
      </c>
      <c r="C61" s="42">
        <f>IF(nA&lt;3,0,IF(C60=0,0,C59/C60))</f>
        <v>3.1862831063420509E-3</v>
      </c>
    </row>
    <row r="62" spans="2:10" ht="26.1" customHeight="1" x14ac:dyDescent="0.25">
      <c r="B62" s="43" t="s">
        <v>129</v>
      </c>
      <c r="C62" s="44">
        <f>C61</f>
        <v>3.1862831063420509E-3</v>
      </c>
      <c r="D62" s="97" t="str">
        <f>IF(C61&lt;=0.1,"ACEPTABLE  ·  puedes seguir",IF(C61&lt;=0.2,"DUDOSO  ·  revisa las comparaciones mas extremas","RECHAZADO  ·  hay que reevaluar esta matriz"))</f>
        <v>ACEPTABLE  ·  puedes seguir</v>
      </c>
      <c r="E62" s="63"/>
      <c r="F62" s="63"/>
      <c r="G62" s="63"/>
      <c r="H62" s="63"/>
      <c r="I62" s="63"/>
      <c r="J62" s="63"/>
    </row>
    <row r="64" spans="2:10" ht="30" customHeight="1" x14ac:dyDescent="0.25">
      <c r="B64" s="64" t="str">
        <f>IF(C61&lt;=0.1,"Tus juicios son coherentes. Los pesos del PASO 4 se pueden usar.","Busca en la matriz del PASO 1 el numero mas extremo (un 7 o un 9) y preguntate si de verdad es para tanto. Bajalo un escalon y vuelve a mirar el CR.")</f>
        <v>Tus juicios son coherentes. Los pesos del PASO 4 se pueden usar.</v>
      </c>
      <c r="C64" s="65"/>
      <c r="D64" s="65"/>
      <c r="E64" s="65"/>
      <c r="F64" s="65"/>
      <c r="G64" s="65"/>
      <c r="H64" s="65"/>
      <c r="I64" s="65"/>
      <c r="J64" s="65"/>
    </row>
  </sheetData>
  <mergeCells count="21">
    <mergeCell ref="L16:M18"/>
    <mergeCell ref="E36:J36"/>
    <mergeCell ref="E39:J39"/>
    <mergeCell ref="E35:J35"/>
    <mergeCell ref="E38:J38"/>
    <mergeCell ref="B64:J64"/>
    <mergeCell ref="E32:J32"/>
    <mergeCell ref="B20:J20"/>
    <mergeCell ref="B45:J45"/>
    <mergeCell ref="E37:J37"/>
    <mergeCell ref="B56:J56"/>
    <mergeCell ref="D62:J62"/>
    <mergeCell ref="E40:J40"/>
    <mergeCell ref="E34:J34"/>
    <mergeCell ref="B2:J2"/>
    <mergeCell ref="B4:J4"/>
    <mergeCell ref="E33:J33"/>
    <mergeCell ref="B3:J3"/>
    <mergeCell ref="B31:J31"/>
    <mergeCell ref="B6:J6"/>
    <mergeCell ref="B17:J17"/>
  </mergeCells>
  <conditionalFormatting sqref="B47:E54">
    <cfRule type="expression" dxfId="86" priority="5">
      <formula>ROW()-46&gt;nA</formula>
    </cfRule>
  </conditionalFormatting>
  <conditionalFormatting sqref="B4:J4">
    <cfRule type="expression" dxfId="85" priority="1">
      <formula>2&gt;nC</formula>
    </cfRule>
  </conditionalFormatting>
  <conditionalFormatting sqref="B8:J15">
    <cfRule type="expression" dxfId="84" priority="2">
      <formula>OR(ROW()-7&gt;nA,COLUMN()-2&gt;nA)</formula>
    </cfRule>
  </conditionalFormatting>
  <conditionalFormatting sqref="B22:J29">
    <cfRule type="expression" dxfId="83" priority="3">
      <formula>OR(ROW()-21&gt;nA,COLUMN()-2&gt;nA)</formula>
    </cfRule>
  </conditionalFormatting>
  <conditionalFormatting sqref="B33:J40">
    <cfRule type="expression" dxfId="82" priority="4">
      <formula>ROW()-32&gt;nA</formula>
    </cfRule>
  </conditionalFormatting>
  <conditionalFormatting sqref="C62:J62">
    <cfRule type="expression" dxfId="81" priority="6">
      <formula>$C$61&lt;=0.1</formula>
    </cfRule>
    <cfRule type="expression" dxfId="80" priority="7">
      <formula>AND($C$61&gt;0.1,$C$61&lt;=0.2)</formula>
    </cfRule>
    <cfRule type="expression" dxfId="79" priority="8">
      <formula>$C$61&gt;0.2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8:J15" xr:uid="{00000000-0002-0000-04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B8A7D"/>
    <pageSetUpPr fitToPage="1"/>
  </sheetPr>
  <dimension ref="B2:M64"/>
  <sheetViews>
    <sheetView showGridLines="0" workbookViewId="0">
      <pane xSplit="2" ySplit="7" topLeftCell="C52" activePane="bottomRight" state="frozen"/>
      <selection pane="topRight"/>
      <selection pane="bottomLeft"/>
      <selection pane="bottomRight" activeCell="C62" sqref="C62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133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131</v>
      </c>
      <c r="C3" s="65"/>
      <c r="D3" s="65"/>
      <c r="E3" s="65"/>
      <c r="F3" s="65"/>
      <c r="G3" s="65"/>
      <c r="H3" s="65"/>
      <c r="I3" s="65"/>
      <c r="J3" s="65"/>
    </row>
    <row r="4" spans="2:13" ht="21.95" customHeight="1" x14ac:dyDescent="0.25">
      <c r="B4" s="102" t="str">
        <f>IF(3&gt;nC,"ESTA HOJA NO SE USA (solo definiste "&amp;nC&amp;" criterios)","Criterio 3: "&amp;INDEX(Configuracion!$C$13:$C$20,3))</f>
        <v xml:space="preserve">Criterio 3: Experiencia de usario </v>
      </c>
      <c r="C4" s="72"/>
      <c r="D4" s="72"/>
      <c r="E4" s="72"/>
      <c r="F4" s="72"/>
      <c r="G4" s="72"/>
      <c r="H4" s="72"/>
      <c r="I4" s="72"/>
      <c r="J4" s="72"/>
    </row>
    <row r="6" spans="2:13" ht="20.100000000000001" customHeight="1" x14ac:dyDescent="0.25">
      <c r="B6" s="87" t="s">
        <v>94</v>
      </c>
      <c r="C6" s="88"/>
      <c r="D6" s="88"/>
      <c r="E6" s="88"/>
      <c r="F6" s="88"/>
      <c r="G6" s="88"/>
      <c r="H6" s="88"/>
      <c r="I6" s="88"/>
      <c r="J6" s="88"/>
      <c r="L6" s="19" t="s">
        <v>95</v>
      </c>
      <c r="M6" s="20" t="s">
        <v>96</v>
      </c>
    </row>
    <row r="7" spans="2:13" ht="32.1" customHeight="1" x14ac:dyDescent="0.25">
      <c r="B7" s="21" t="s">
        <v>97</v>
      </c>
      <c r="C7" s="21" t="str">
        <f>IF(1&gt;nA,"",INDEX(Configuracion!$E$13:$E$20,1))</f>
        <v>Nativas</v>
      </c>
      <c r="D7" s="21" t="str">
        <f>IF(2&gt;nA,"",INDEX(Configuracion!$E$13:$E$20,2))</f>
        <v>Multiplataforma</v>
      </c>
      <c r="E7" s="21" t="str">
        <f>IF(3&gt;nA,"",INDEX(Configuracion!$E$13:$E$20,3))</f>
        <v>Aplicación web</v>
      </c>
      <c r="F7" s="21" t="str">
        <f>IF(4&gt;nA,"",INDEX(Configuracion!$E$13:$E$20,4))</f>
        <v/>
      </c>
      <c r="G7" s="21" t="str">
        <f>IF(5&gt;nA,"",INDEX(Configuracion!$E$13:$E$20,5))</f>
        <v/>
      </c>
      <c r="H7" s="21" t="str">
        <f>IF(6&gt;nA,"",INDEX(Configuracion!$E$13:$E$20,6))</f>
        <v/>
      </c>
      <c r="I7" s="21" t="str">
        <f>IF(7&gt;nA,"",INDEX(Configuracion!$E$13:$E$20,7))</f>
        <v/>
      </c>
      <c r="J7" s="21" t="str">
        <f>IF(8&gt;nA,"",INDEX(Configuracion!$E$13:$E$20,8))</f>
        <v/>
      </c>
      <c r="L7" s="22" t="s">
        <v>3</v>
      </c>
      <c r="M7" s="6" t="s">
        <v>98</v>
      </c>
    </row>
    <row r="8" spans="2:13" ht="18" customHeight="1" x14ac:dyDescent="0.25">
      <c r="B8" s="23" t="str">
        <f>IF(1&gt;nA,"",INDEX(Configuracion!$E$13:$E$20,1))</f>
        <v>Nativas</v>
      </c>
      <c r="C8" s="24">
        <f>IF(1&gt;nA,"",1)</f>
        <v>1</v>
      </c>
      <c r="D8" s="25">
        <v>0.5</v>
      </c>
      <c r="E8" s="25">
        <v>0.33333333333333331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L8" s="22" t="s">
        <v>9</v>
      </c>
      <c r="M8" s="6" t="s">
        <v>99</v>
      </c>
    </row>
    <row r="9" spans="2:13" ht="18" customHeight="1" x14ac:dyDescent="0.25">
      <c r="B9" s="23" t="str">
        <f>IF(2&gt;nA,"",INDEX(Configuracion!$E$13:$E$20,2))</f>
        <v>Multiplataforma</v>
      </c>
      <c r="C9" s="26">
        <f>IF(2&gt;nA,"",IF(D8="","",1/D8))</f>
        <v>2</v>
      </c>
      <c r="D9" s="24">
        <f>IF(2&gt;nA,"",1)</f>
        <v>1</v>
      </c>
      <c r="E9" s="25">
        <v>0.5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L9" s="22" t="s">
        <v>15</v>
      </c>
      <c r="M9" s="6" t="s">
        <v>100</v>
      </c>
    </row>
    <row r="10" spans="2:13" ht="18" customHeight="1" x14ac:dyDescent="0.25">
      <c r="B10" s="23" t="str">
        <f>IF(3&gt;nA,"",INDEX(Configuracion!$E$13:$E$20,3))</f>
        <v>Aplicación web</v>
      </c>
      <c r="C10" s="26">
        <f>IF(3&gt;nA,"",IF(E8="","",1/E8))</f>
        <v>3</v>
      </c>
      <c r="D10" s="26">
        <f>IF(3&gt;nA,"",IF(E9="","",1/E9))</f>
        <v>2</v>
      </c>
      <c r="E10" s="24">
        <f>IF(3&gt;nA,"",1)</f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L10" s="22" t="s">
        <v>33</v>
      </c>
      <c r="M10" s="6" t="s">
        <v>101</v>
      </c>
    </row>
    <row r="11" spans="2:13" ht="18" customHeight="1" x14ac:dyDescent="0.25">
      <c r="B11" s="23" t="str">
        <f>IF(4&gt;nA,"",INDEX(Configuracion!$E$13:$E$20,4))</f>
        <v/>
      </c>
      <c r="C11" s="26" t="str">
        <f>IF(4&gt;nA,"",IF(F8="","",1/F8))</f>
        <v/>
      </c>
      <c r="D11" s="26" t="str">
        <f>IF(4&gt;nA,"",IF(F9="","",1/F9))</f>
        <v/>
      </c>
      <c r="E11" s="26" t="str">
        <f>IF(4&gt;nA,"",IF(F10="","",1/F10))</f>
        <v/>
      </c>
      <c r="F11" s="24" t="str">
        <f>IF(4&gt;nA,"",1)</f>
        <v/>
      </c>
      <c r="G11" s="25">
        <v>1</v>
      </c>
      <c r="H11" s="25">
        <v>1</v>
      </c>
      <c r="I11" s="25">
        <v>1</v>
      </c>
      <c r="J11" s="25">
        <v>1</v>
      </c>
      <c r="L11" s="22" t="s">
        <v>37</v>
      </c>
      <c r="M11" s="6" t="s">
        <v>102</v>
      </c>
    </row>
    <row r="12" spans="2:13" ht="18" customHeight="1" x14ac:dyDescent="0.25">
      <c r="B12" s="23" t="str">
        <f>IF(5&gt;nA,"",INDEX(Configuracion!$E$13:$E$20,5))</f>
        <v/>
      </c>
      <c r="C12" s="26" t="str">
        <f>IF(5&gt;nA,"",IF(G8="","",1/G8))</f>
        <v/>
      </c>
      <c r="D12" s="26" t="str">
        <f>IF(5&gt;nA,"",IF(G9="","",1/G9))</f>
        <v/>
      </c>
      <c r="E12" s="26" t="str">
        <f>IF(5&gt;nA,"",IF(G10="","",1/G10))</f>
        <v/>
      </c>
      <c r="F12" s="26" t="str">
        <f>IF(5&gt;nA,"",IF(G11="","",1/G11))</f>
        <v/>
      </c>
      <c r="G12" s="24" t="str">
        <f>IF(5&gt;nA,"",1)</f>
        <v/>
      </c>
      <c r="H12" s="25">
        <v>1</v>
      </c>
      <c r="I12" s="25">
        <v>1</v>
      </c>
      <c r="J12" s="25">
        <v>1</v>
      </c>
      <c r="L12" s="22" t="s">
        <v>103</v>
      </c>
      <c r="M12" s="6" t="s">
        <v>104</v>
      </c>
    </row>
    <row r="13" spans="2:13" ht="18" customHeight="1" x14ac:dyDescent="0.25">
      <c r="B13" s="23" t="str">
        <f>IF(6&gt;nA,"",INDEX(Configuracion!$E$13:$E$20,6))</f>
        <v/>
      </c>
      <c r="C13" s="26" t="str">
        <f>IF(6&gt;nA,"",IF(H8="","",1/H8))</f>
        <v/>
      </c>
      <c r="D13" s="26" t="str">
        <f>IF(6&gt;nA,"",IF(H9="","",1/H9))</f>
        <v/>
      </c>
      <c r="E13" s="26" t="str">
        <f>IF(6&gt;nA,"",IF(H10="","",1/H10))</f>
        <v/>
      </c>
      <c r="F13" s="26" t="str">
        <f>IF(6&gt;nA,"",IF(H11="","",1/H11))</f>
        <v/>
      </c>
      <c r="G13" s="26" t="str">
        <f>IF(6&gt;nA,"",IF(H12="","",1/H12))</f>
        <v/>
      </c>
      <c r="H13" s="24" t="str">
        <f>IF(6&gt;nA,"",1)</f>
        <v/>
      </c>
      <c r="I13" s="25">
        <v>1</v>
      </c>
      <c r="J13" s="25">
        <v>1</v>
      </c>
      <c r="L13" s="22" t="s">
        <v>105</v>
      </c>
      <c r="M13" s="6" t="s">
        <v>106</v>
      </c>
    </row>
    <row r="14" spans="2:13" ht="18" customHeight="1" x14ac:dyDescent="0.25">
      <c r="B14" s="23" t="str">
        <f>IF(7&gt;nA,"",INDEX(Configuracion!$E$13:$E$20,7))</f>
        <v/>
      </c>
      <c r="C14" s="26" t="str">
        <f>IF(7&gt;nA,"",IF(I8="","",1/I8))</f>
        <v/>
      </c>
      <c r="D14" s="26" t="str">
        <f>IF(7&gt;nA,"",IF(I9="","",1/I9))</f>
        <v/>
      </c>
      <c r="E14" s="26" t="str">
        <f>IF(7&gt;nA,"",IF(I10="","",1/I10))</f>
        <v/>
      </c>
      <c r="F14" s="26" t="str">
        <f>IF(7&gt;nA,"",IF(I11="","",1/I11))</f>
        <v/>
      </c>
      <c r="G14" s="26" t="str">
        <f>IF(7&gt;nA,"",IF(I12="","",1/I12))</f>
        <v/>
      </c>
      <c r="H14" s="26" t="str">
        <f>IF(7&gt;nA,"",IF(I13="","",1/I13))</f>
        <v/>
      </c>
      <c r="I14" s="24" t="str">
        <f>IF(7&gt;nA,"",1)</f>
        <v/>
      </c>
      <c r="J14" s="25">
        <v>1</v>
      </c>
      <c r="L14" s="22" t="s">
        <v>107</v>
      </c>
      <c r="M14" s="6" t="s">
        <v>108</v>
      </c>
    </row>
    <row r="15" spans="2:13" ht="18" customHeight="1" x14ac:dyDescent="0.25">
      <c r="B15" s="23" t="str">
        <f>IF(8&gt;nA,"",INDEX(Configuracion!$E$13:$E$20,8))</f>
        <v/>
      </c>
      <c r="C15" s="26" t="str">
        <f>IF(8&gt;nA,"",IF(J8="","",1/J8))</f>
        <v/>
      </c>
      <c r="D15" s="26" t="str">
        <f>IF(8&gt;nA,"",IF(J9="","",1/J9))</f>
        <v/>
      </c>
      <c r="E15" s="26" t="str">
        <f>IF(8&gt;nA,"",IF(J10="","",1/J10))</f>
        <v/>
      </c>
      <c r="F15" s="26" t="str">
        <f>IF(8&gt;nA,"",IF(J11="","",1/J11))</f>
        <v/>
      </c>
      <c r="G15" s="26" t="str">
        <f>IF(8&gt;nA,"",IF(J12="","",1/J12))</f>
        <v/>
      </c>
      <c r="H15" s="26" t="str">
        <f>IF(8&gt;nA,"",IF(J13="","",1/J13))</f>
        <v/>
      </c>
      <c r="I15" s="26" t="str">
        <f>IF(8&gt;nA,"",IF(J14="","",1/J14))</f>
        <v/>
      </c>
      <c r="J15" s="24" t="str">
        <f>IF(8&gt;nA,"",1)</f>
        <v/>
      </c>
    </row>
    <row r="16" spans="2:13" x14ac:dyDescent="0.25">
      <c r="L16" s="99" t="s">
        <v>109</v>
      </c>
      <c r="M16" s="65"/>
    </row>
    <row r="17" spans="2:13" ht="20.100000000000001" customHeight="1" x14ac:dyDescent="0.25">
      <c r="B17" s="87" t="s">
        <v>110</v>
      </c>
      <c r="C17" s="88"/>
      <c r="D17" s="88"/>
      <c r="E17" s="88"/>
      <c r="F17" s="88"/>
      <c r="G17" s="88"/>
      <c r="H17" s="88"/>
      <c r="I17" s="88"/>
      <c r="J17" s="88"/>
      <c r="L17" s="65"/>
      <c r="M17" s="65"/>
    </row>
    <row r="18" spans="2:13" x14ac:dyDescent="0.25">
      <c r="B18" s="23" t="s">
        <v>111</v>
      </c>
      <c r="C18" s="27">
        <f>IF(1&gt;nA,"",SUM(INDEX(C$8:C$15,1):INDEX(C$8:C$15,nA)))</f>
        <v>6</v>
      </c>
      <c r="D18" s="27">
        <f>IF(2&gt;nA,"",SUM(INDEX(D$8:D$15,1):INDEX(D$8:D$15,nA)))</f>
        <v>3.5</v>
      </c>
      <c r="E18" s="27">
        <f>IF(3&gt;nA,"",SUM(INDEX(E$8:E$15,1):INDEX(E$8:E$15,nA)))</f>
        <v>1.8333333333333333</v>
      </c>
      <c r="F18" s="27" t="str">
        <f>IF(4&gt;nA,"",SUM(INDEX(F$8:F$15,1):INDEX(F$8:F$15,nA)))</f>
        <v/>
      </c>
      <c r="G18" s="27" t="str">
        <f>IF(5&gt;nA,"",SUM(INDEX(G$8:G$15,1):INDEX(G$8:G$15,nA)))</f>
        <v/>
      </c>
      <c r="H18" s="27" t="str">
        <f>IF(6&gt;nA,"",SUM(INDEX(H$8:H$15,1):INDEX(H$8:H$15,nA)))</f>
        <v/>
      </c>
      <c r="I18" s="27" t="str">
        <f>IF(7&gt;nA,"",SUM(INDEX(I$8:I$15,1):INDEX(I$8:I$15,nA)))</f>
        <v/>
      </c>
      <c r="J18" s="27" t="str">
        <f>IF(8&gt;nA,"",SUM(INDEX(J$8:J$15,1):INDEX(J$8:J$15,nA)))</f>
        <v/>
      </c>
      <c r="L18" s="65"/>
      <c r="M18" s="65"/>
    </row>
    <row r="20" spans="2:13" ht="20.100000000000001" customHeight="1" x14ac:dyDescent="0.25">
      <c r="B20" s="87" t="s">
        <v>112</v>
      </c>
      <c r="C20" s="88"/>
      <c r="D20" s="88"/>
      <c r="E20" s="88"/>
      <c r="F20" s="88"/>
      <c r="G20" s="88"/>
      <c r="H20" s="88"/>
      <c r="I20" s="88"/>
      <c r="J20" s="88"/>
    </row>
    <row r="21" spans="2:13" ht="32.1" customHeight="1" x14ac:dyDescent="0.25">
      <c r="B21" s="21" t="s">
        <v>97</v>
      </c>
      <c r="C21" s="21" t="str">
        <f>IF(1&gt;nA,"",INDEX(Configuracion!$E$13:$E$20,1))</f>
        <v>Nativas</v>
      </c>
      <c r="D21" s="21" t="str">
        <f>IF(2&gt;nA,"",INDEX(Configuracion!$E$13:$E$20,2))</f>
        <v>Multiplataforma</v>
      </c>
      <c r="E21" s="21" t="str">
        <f>IF(3&gt;nA,"",INDEX(Configuracion!$E$13:$E$20,3))</f>
        <v>Aplicación web</v>
      </c>
      <c r="F21" s="21" t="str">
        <f>IF(4&gt;nA,"",INDEX(Configuracion!$E$13:$E$20,4))</f>
        <v/>
      </c>
      <c r="G21" s="21" t="str">
        <f>IF(5&gt;nA,"",INDEX(Configuracion!$E$13:$E$20,5))</f>
        <v/>
      </c>
      <c r="H21" s="21" t="str">
        <f>IF(6&gt;nA,"",INDEX(Configuracion!$E$13:$E$20,6))</f>
        <v/>
      </c>
      <c r="I21" s="21" t="str">
        <f>IF(7&gt;nA,"",INDEX(Configuracion!$E$13:$E$20,7))</f>
        <v/>
      </c>
      <c r="J21" s="21" t="str">
        <f>IF(8&gt;nA,"",INDEX(Configuracion!$E$13:$E$20,8))</f>
        <v/>
      </c>
    </row>
    <row r="22" spans="2:13" ht="18" customHeight="1" x14ac:dyDescent="0.25">
      <c r="B22" s="23" t="str">
        <f>IF(1&gt;nA,"",INDEX(Configuracion!$E$13:$E$20,1))</f>
        <v>Nativas</v>
      </c>
      <c r="C22" s="28">
        <f>IF(OR(1&gt;nA,1&gt;nA),"",C8/C$18)</f>
        <v>0.16666666666666666</v>
      </c>
      <c r="D22" s="28">
        <f>IF(OR(1&gt;nA,2&gt;nA),"",D8/D$18)</f>
        <v>0.14285714285714285</v>
      </c>
      <c r="E22" s="28">
        <f>IF(OR(1&gt;nA,3&gt;nA),"",E8/E$18)</f>
        <v>0.18181818181818182</v>
      </c>
      <c r="F22" s="28" t="str">
        <f>IF(OR(1&gt;nA,4&gt;nA),"",F8/F$18)</f>
        <v/>
      </c>
      <c r="G22" s="28" t="str">
        <f>IF(OR(1&gt;nA,5&gt;nA),"",G8/G$18)</f>
        <v/>
      </c>
      <c r="H22" s="28" t="str">
        <f>IF(OR(1&gt;nA,6&gt;nA),"",H8/H$18)</f>
        <v/>
      </c>
      <c r="I22" s="28" t="str">
        <f>IF(OR(1&gt;nA,7&gt;nA),"",I8/I$18)</f>
        <v/>
      </c>
      <c r="J22" s="28" t="str">
        <f>IF(OR(1&gt;nA,8&gt;nA),"",J8/J$18)</f>
        <v/>
      </c>
    </row>
    <row r="23" spans="2:13" ht="18" customHeight="1" x14ac:dyDescent="0.25">
      <c r="B23" s="23" t="str">
        <f>IF(2&gt;nA,"",INDEX(Configuracion!$E$13:$E$20,2))</f>
        <v>Multiplataforma</v>
      </c>
      <c r="C23" s="28">
        <f>IF(OR(2&gt;nA,1&gt;nA),"",C9/C$18)</f>
        <v>0.33333333333333331</v>
      </c>
      <c r="D23" s="28">
        <f>IF(OR(2&gt;nA,2&gt;nA),"",D9/D$18)</f>
        <v>0.2857142857142857</v>
      </c>
      <c r="E23" s="28">
        <f>IF(OR(2&gt;nA,3&gt;nA),"",E9/E$18)</f>
        <v>0.27272727272727276</v>
      </c>
      <c r="F23" s="28" t="str">
        <f>IF(OR(2&gt;nA,4&gt;nA),"",F9/F$18)</f>
        <v/>
      </c>
      <c r="G23" s="28" t="str">
        <f>IF(OR(2&gt;nA,5&gt;nA),"",G9/G$18)</f>
        <v/>
      </c>
      <c r="H23" s="28" t="str">
        <f>IF(OR(2&gt;nA,6&gt;nA),"",H9/H$18)</f>
        <v/>
      </c>
      <c r="I23" s="28" t="str">
        <f>IF(OR(2&gt;nA,7&gt;nA),"",I9/I$18)</f>
        <v/>
      </c>
      <c r="J23" s="28" t="str">
        <f>IF(OR(2&gt;nA,8&gt;nA),"",J9/J$18)</f>
        <v/>
      </c>
    </row>
    <row r="24" spans="2:13" ht="18" customHeight="1" x14ac:dyDescent="0.25">
      <c r="B24" s="23" t="str">
        <f>IF(3&gt;nA,"",INDEX(Configuracion!$E$13:$E$20,3))</f>
        <v>Aplicación web</v>
      </c>
      <c r="C24" s="28">
        <f>IF(OR(3&gt;nA,1&gt;nA),"",C10/C$18)</f>
        <v>0.5</v>
      </c>
      <c r="D24" s="28">
        <f>IF(OR(3&gt;nA,2&gt;nA),"",D10/D$18)</f>
        <v>0.5714285714285714</v>
      </c>
      <c r="E24" s="28">
        <f>IF(OR(3&gt;nA,3&gt;nA),"",E10/E$18)</f>
        <v>0.54545454545454553</v>
      </c>
      <c r="F24" s="28" t="str">
        <f>IF(OR(3&gt;nA,4&gt;nA),"",F10/F$18)</f>
        <v/>
      </c>
      <c r="G24" s="28" t="str">
        <f>IF(OR(3&gt;nA,5&gt;nA),"",G10/G$18)</f>
        <v/>
      </c>
      <c r="H24" s="28" t="str">
        <f>IF(OR(3&gt;nA,6&gt;nA),"",H10/H$18)</f>
        <v/>
      </c>
      <c r="I24" s="28" t="str">
        <f>IF(OR(3&gt;nA,7&gt;nA),"",I10/I$18)</f>
        <v/>
      </c>
      <c r="J24" s="28" t="str">
        <f>IF(OR(3&gt;nA,8&gt;nA),"",J10/J$18)</f>
        <v/>
      </c>
    </row>
    <row r="25" spans="2:13" ht="18" customHeight="1" x14ac:dyDescent="0.25">
      <c r="B25" s="23" t="str">
        <f>IF(4&gt;nA,"",INDEX(Configuracion!$E$13:$E$20,4))</f>
        <v/>
      </c>
      <c r="C25" s="28" t="str">
        <f>IF(OR(4&gt;nA,1&gt;nA),"",C11/C$18)</f>
        <v/>
      </c>
      <c r="D25" s="28" t="str">
        <f>IF(OR(4&gt;nA,2&gt;nA),"",D11/D$18)</f>
        <v/>
      </c>
      <c r="E25" s="28" t="str">
        <f>IF(OR(4&gt;nA,3&gt;nA),"",E11/E$18)</f>
        <v/>
      </c>
      <c r="F25" s="28" t="str">
        <f>IF(OR(4&gt;nA,4&gt;nA),"",F11/F$18)</f>
        <v/>
      </c>
      <c r="G25" s="28" t="str">
        <f>IF(OR(4&gt;nA,5&gt;nA),"",G11/G$18)</f>
        <v/>
      </c>
      <c r="H25" s="28" t="str">
        <f>IF(OR(4&gt;nA,6&gt;nA),"",H11/H$18)</f>
        <v/>
      </c>
      <c r="I25" s="28" t="str">
        <f>IF(OR(4&gt;nA,7&gt;nA),"",I11/I$18)</f>
        <v/>
      </c>
      <c r="J25" s="28" t="str">
        <f>IF(OR(4&gt;nA,8&gt;nA),"",J11/J$18)</f>
        <v/>
      </c>
    </row>
    <row r="26" spans="2:13" ht="18" customHeight="1" x14ac:dyDescent="0.25">
      <c r="B26" s="23" t="str">
        <f>IF(5&gt;nA,"",INDEX(Configuracion!$E$13:$E$20,5))</f>
        <v/>
      </c>
      <c r="C26" s="28" t="str">
        <f>IF(OR(5&gt;nA,1&gt;nA),"",C12/C$18)</f>
        <v/>
      </c>
      <c r="D26" s="28" t="str">
        <f>IF(OR(5&gt;nA,2&gt;nA),"",D12/D$18)</f>
        <v/>
      </c>
      <c r="E26" s="28" t="str">
        <f>IF(OR(5&gt;nA,3&gt;nA),"",E12/E$18)</f>
        <v/>
      </c>
      <c r="F26" s="28" t="str">
        <f>IF(OR(5&gt;nA,4&gt;nA),"",F12/F$18)</f>
        <v/>
      </c>
      <c r="G26" s="28" t="str">
        <f>IF(OR(5&gt;nA,5&gt;nA),"",G12/G$18)</f>
        <v/>
      </c>
      <c r="H26" s="28" t="str">
        <f>IF(OR(5&gt;nA,6&gt;nA),"",H12/H$18)</f>
        <v/>
      </c>
      <c r="I26" s="28" t="str">
        <f>IF(OR(5&gt;nA,7&gt;nA),"",I12/I$18)</f>
        <v/>
      </c>
      <c r="J26" s="28" t="str">
        <f>IF(OR(5&gt;nA,8&gt;nA),"",J12/J$18)</f>
        <v/>
      </c>
    </row>
    <row r="27" spans="2:13" ht="18" customHeight="1" x14ac:dyDescent="0.25">
      <c r="B27" s="23" t="str">
        <f>IF(6&gt;nA,"",INDEX(Configuracion!$E$13:$E$20,6))</f>
        <v/>
      </c>
      <c r="C27" s="28" t="str">
        <f>IF(OR(6&gt;nA,1&gt;nA),"",C13/C$18)</f>
        <v/>
      </c>
      <c r="D27" s="28" t="str">
        <f>IF(OR(6&gt;nA,2&gt;nA),"",D13/D$18)</f>
        <v/>
      </c>
      <c r="E27" s="28" t="str">
        <f>IF(OR(6&gt;nA,3&gt;nA),"",E13/E$18)</f>
        <v/>
      </c>
      <c r="F27" s="28" t="str">
        <f>IF(OR(6&gt;nA,4&gt;nA),"",F13/F$18)</f>
        <v/>
      </c>
      <c r="G27" s="28" t="str">
        <f>IF(OR(6&gt;nA,5&gt;nA),"",G13/G$18)</f>
        <v/>
      </c>
      <c r="H27" s="28" t="str">
        <f>IF(OR(6&gt;nA,6&gt;nA),"",H13/H$18)</f>
        <v/>
      </c>
      <c r="I27" s="28" t="str">
        <f>IF(OR(6&gt;nA,7&gt;nA),"",I13/I$18)</f>
        <v/>
      </c>
      <c r="J27" s="28" t="str">
        <f>IF(OR(6&gt;nA,8&gt;nA),"",J13/J$18)</f>
        <v/>
      </c>
    </row>
    <row r="28" spans="2:13" ht="18" customHeight="1" x14ac:dyDescent="0.25">
      <c r="B28" s="23" t="str">
        <f>IF(7&gt;nA,"",INDEX(Configuracion!$E$13:$E$20,7))</f>
        <v/>
      </c>
      <c r="C28" s="28" t="str">
        <f>IF(OR(7&gt;nA,1&gt;nA),"",C14/C$18)</f>
        <v/>
      </c>
      <c r="D28" s="28" t="str">
        <f>IF(OR(7&gt;nA,2&gt;nA),"",D14/D$18)</f>
        <v/>
      </c>
      <c r="E28" s="28" t="str">
        <f>IF(OR(7&gt;nA,3&gt;nA),"",E14/E$18)</f>
        <v/>
      </c>
      <c r="F28" s="28" t="str">
        <f>IF(OR(7&gt;nA,4&gt;nA),"",F14/F$18)</f>
        <v/>
      </c>
      <c r="G28" s="28" t="str">
        <f>IF(OR(7&gt;nA,5&gt;nA),"",G14/G$18)</f>
        <v/>
      </c>
      <c r="H28" s="28" t="str">
        <f>IF(OR(7&gt;nA,6&gt;nA),"",H14/H$18)</f>
        <v/>
      </c>
      <c r="I28" s="28" t="str">
        <f>IF(OR(7&gt;nA,7&gt;nA),"",I14/I$18)</f>
        <v/>
      </c>
      <c r="J28" s="28" t="str">
        <f>IF(OR(7&gt;nA,8&gt;nA),"",J14/J$18)</f>
        <v/>
      </c>
    </row>
    <row r="29" spans="2:13" ht="18" customHeight="1" x14ac:dyDescent="0.25">
      <c r="B29" s="23" t="str">
        <f>IF(8&gt;nA,"",INDEX(Configuracion!$E$13:$E$20,8))</f>
        <v/>
      </c>
      <c r="C29" s="28" t="str">
        <f>IF(OR(8&gt;nA,1&gt;nA),"",C15/C$18)</f>
        <v/>
      </c>
      <c r="D29" s="28" t="str">
        <f>IF(OR(8&gt;nA,2&gt;nA),"",D15/D$18)</f>
        <v/>
      </c>
      <c r="E29" s="28" t="str">
        <f>IF(OR(8&gt;nA,3&gt;nA),"",E15/E$18)</f>
        <v/>
      </c>
      <c r="F29" s="28" t="str">
        <f>IF(OR(8&gt;nA,4&gt;nA),"",F15/F$18)</f>
        <v/>
      </c>
      <c r="G29" s="28" t="str">
        <f>IF(OR(8&gt;nA,5&gt;nA),"",G15/G$18)</f>
        <v/>
      </c>
      <c r="H29" s="28" t="str">
        <f>IF(OR(8&gt;nA,6&gt;nA),"",H15/H$18)</f>
        <v/>
      </c>
      <c r="I29" s="28" t="str">
        <f>IF(OR(8&gt;nA,7&gt;nA),"",I15/I$18)</f>
        <v/>
      </c>
      <c r="J29" s="28" t="str">
        <f>IF(OR(8&gt;nA,8&gt;nA),"",J15/J$18)</f>
        <v/>
      </c>
    </row>
    <row r="31" spans="2:13" ht="20.100000000000001" customHeight="1" x14ac:dyDescent="0.25">
      <c r="B31" s="87" t="s">
        <v>113</v>
      </c>
      <c r="C31" s="88"/>
      <c r="D31" s="88"/>
      <c r="E31" s="88"/>
      <c r="F31" s="88"/>
      <c r="G31" s="88"/>
      <c r="H31" s="88"/>
      <c r="I31" s="88"/>
      <c r="J31" s="88"/>
    </row>
    <row r="32" spans="2:13" x14ac:dyDescent="0.25">
      <c r="B32" s="3" t="s">
        <v>114</v>
      </c>
      <c r="C32" s="3" t="s">
        <v>115</v>
      </c>
      <c r="D32" s="3" t="s">
        <v>116</v>
      </c>
      <c r="E32" s="100" t="s">
        <v>117</v>
      </c>
      <c r="F32" s="101"/>
      <c r="G32" s="101"/>
      <c r="H32" s="101"/>
      <c r="I32" s="101"/>
      <c r="J32" s="101"/>
    </row>
    <row r="33" spans="2:10" ht="18" customHeight="1" x14ac:dyDescent="0.25">
      <c r="B33" s="23" t="str">
        <f>IF(1&gt;nA,"",INDEX(Configuracion!$E$13:$E$20,1))</f>
        <v>Nativas</v>
      </c>
      <c r="C33" s="29">
        <f>IF(1&gt;nA,"",AVERAGE(INDEX($C22:$J22,1):INDEX($C22:$J22,nA)))</f>
        <v>0.16378066378066378</v>
      </c>
      <c r="D33" s="30">
        <f>IF(1&gt;nA,"",C33)</f>
        <v>0.16378066378066378</v>
      </c>
      <c r="E33" s="98" t="str">
        <f>IF(1&gt;nA,"","De cada 100 puntos de importancia, este se lleva "&amp;TEXT(C33*100,"0,0")&amp;".")</f>
        <v>De cada 100 puntos de importancia, este se lleva 16.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IF(2&gt;nA,"",INDEX(Configuracion!$E$13:$E$20,2))</f>
        <v>Multiplataforma</v>
      </c>
      <c r="C34" s="29">
        <f>IF(2&gt;nA,"",AVERAGE(INDEX($C23:$J23,1):INDEX($C23:$J23,nA)))</f>
        <v>0.29725829725829728</v>
      </c>
      <c r="D34" s="30">
        <f>IF(2&gt;nA,"",C34)</f>
        <v>0.29725829725829728</v>
      </c>
      <c r="E34" s="98" t="str">
        <f>IF(2&gt;nA,"","De cada 100 puntos de importancia, este se lleva "&amp;TEXT(C34*100,"0,0")&amp;".")</f>
        <v>De cada 100 puntos de importancia, este se lleva 30.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IF(3&gt;nA,"",INDEX(Configuracion!$E$13:$E$20,3))</f>
        <v>Aplicación web</v>
      </c>
      <c r="C35" s="29">
        <f>IF(3&gt;nA,"",AVERAGE(INDEX($C24:$J24,1):INDEX($C24:$J24,nA)))</f>
        <v>0.53896103896103897</v>
      </c>
      <c r="D35" s="30">
        <f>IF(3&gt;nA,"",C35)</f>
        <v>0.53896103896103897</v>
      </c>
      <c r="E35" s="98" t="str">
        <f>IF(3&gt;nA,"","De cada 100 puntos de importancia, este se lleva "&amp;TEXT(C35*100,"0,0")&amp;".")</f>
        <v>De cada 100 puntos de importancia, este se lleva 54.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IF(4&gt;nA,"",INDEX(Configuracion!$E$13:$E$20,4))</f>
        <v/>
      </c>
      <c r="C36" s="29" t="str">
        <f>IF(4&gt;nA,"",AVERAGE(INDEX($C25:$J25,1):INDEX($C25:$J25,nA)))</f>
        <v/>
      </c>
      <c r="D36" s="30" t="str">
        <f>IF(4&gt;nA,"",C36)</f>
        <v/>
      </c>
      <c r="E36" s="98" t="str">
        <f>IF(4&gt;nA,"","De cada 100 puntos de importancia, este se lleva "&amp;TEXT(C36*100,"0,0")&amp;".")</f>
        <v/>
      </c>
      <c r="F36" s="63"/>
      <c r="G36" s="63"/>
      <c r="H36" s="63"/>
      <c r="I36" s="63"/>
      <c r="J36" s="63"/>
    </row>
    <row r="37" spans="2:10" ht="18" customHeight="1" x14ac:dyDescent="0.25">
      <c r="B37" s="23" t="str">
        <f>IF(5&gt;nA,"",INDEX(Configuracion!$E$13:$E$20,5))</f>
        <v/>
      </c>
      <c r="C37" s="29" t="str">
        <f>IF(5&gt;nA,"",AVERAGE(INDEX($C26:$J26,1):INDEX($C26:$J26,nA)))</f>
        <v/>
      </c>
      <c r="D37" s="30" t="str">
        <f>IF(5&gt;nA,"",C37)</f>
        <v/>
      </c>
      <c r="E37" s="98" t="str">
        <f>IF(5&gt;nA,"","De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IF(6&gt;nA,"",INDEX(Configuracion!$E$13:$E$20,6))</f>
        <v/>
      </c>
      <c r="C38" s="29" t="str">
        <f>IF(6&gt;nA,"",AVERAGE(INDEX($C27:$J27,1):INDEX($C27:$J27,nA)))</f>
        <v/>
      </c>
      <c r="D38" s="30" t="str">
        <f>IF(6&gt;nA,"",C38)</f>
        <v/>
      </c>
      <c r="E38" s="98" t="str">
        <f>IF(6&gt;nA,"","De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IF(7&gt;nA,"",INDEX(Configuracion!$E$13:$E$20,7))</f>
        <v/>
      </c>
      <c r="C39" s="29" t="str">
        <f>IF(7&gt;nA,"",AVERAGE(INDEX($C28:$J28,1):INDEX($C28:$J28,nA)))</f>
        <v/>
      </c>
      <c r="D39" s="30" t="str">
        <f>IF(7&gt;nA,"",C39)</f>
        <v/>
      </c>
      <c r="E39" s="98" t="str">
        <f>IF(7&gt;nA,"","De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ht="18" customHeight="1" x14ac:dyDescent="0.25">
      <c r="B40" s="23" t="str">
        <f>IF(8&gt;nA,"",INDEX(Configuracion!$E$13:$E$20,8))</f>
        <v/>
      </c>
      <c r="C40" s="29" t="str">
        <f>IF(8&gt;nA,"",AVERAGE(INDEX($C29:$J29,1):INDEX($C29:$J29,nA)))</f>
        <v/>
      </c>
      <c r="D40" s="30" t="str">
        <f>IF(8&gt;nA,"",C40)</f>
        <v/>
      </c>
      <c r="E40" s="98" t="str">
        <f>IF(8&gt;nA,"","De cada 100 puntos de importancia, este se lleva "&amp;TEXT(C40*100,"0,0")&amp;".")</f>
        <v/>
      </c>
      <c r="F40" s="63"/>
      <c r="G40" s="63"/>
      <c r="H40" s="63"/>
      <c r="I40" s="63"/>
      <c r="J40" s="63"/>
    </row>
    <row r="41" spans="2:10" x14ac:dyDescent="0.25">
      <c r="B41" s="31" t="s">
        <v>118</v>
      </c>
      <c r="C41" s="32">
        <f>SUM(INDEX($C$33:$C$40,1):INDEX($C$33:$C$40,nA))</f>
        <v>1</v>
      </c>
    </row>
    <row r="43" spans="2:10" x14ac:dyDescent="0.25">
      <c r="B43" s="33" t="s">
        <v>119</v>
      </c>
      <c r="C43" s="34">
        <f>IF(1&gt;nA,"",$C$33)</f>
        <v>0.16378066378066378</v>
      </c>
      <c r="D43" s="34">
        <f>IF(2&gt;nA,"",$C$34)</f>
        <v>0.29725829725829728</v>
      </c>
      <c r="E43" s="34">
        <f>IF(3&gt;nA,"",$C$35)</f>
        <v>0.53896103896103897</v>
      </c>
      <c r="F43" s="34" t="str">
        <f>IF(4&gt;nA,"",$C$36)</f>
        <v/>
      </c>
      <c r="G43" s="34" t="str">
        <f>IF(5&gt;nA,"",$C$37)</f>
        <v/>
      </c>
      <c r="H43" s="34" t="str">
        <f>IF(6&gt;nA,"",$C$38)</f>
        <v/>
      </c>
      <c r="I43" s="34" t="str">
        <f>IF(7&gt;nA,"",$C$39)</f>
        <v/>
      </c>
      <c r="J43" s="34" t="str">
        <f>IF(8&gt;nA,"",$C$40)</f>
        <v/>
      </c>
    </row>
    <row r="45" spans="2:10" ht="20.100000000000001" customHeight="1" x14ac:dyDescent="0.25">
      <c r="B45" s="87" t="s">
        <v>120</v>
      </c>
      <c r="C45" s="88"/>
      <c r="D45" s="88"/>
      <c r="E45" s="88"/>
      <c r="F45" s="88"/>
      <c r="G45" s="88"/>
      <c r="H45" s="88"/>
      <c r="I45" s="88"/>
      <c r="J45" s="88"/>
    </row>
    <row r="46" spans="2:10" ht="27.95" customHeight="1" x14ac:dyDescent="0.25">
      <c r="B46" s="35" t="s">
        <v>114</v>
      </c>
      <c r="C46" s="35" t="s">
        <v>121</v>
      </c>
      <c r="D46" s="35" t="s">
        <v>115</v>
      </c>
      <c r="E46" s="35" t="s">
        <v>122</v>
      </c>
    </row>
    <row r="47" spans="2:10" ht="18" customHeight="1" x14ac:dyDescent="0.25">
      <c r="B47" s="23" t="str">
        <f>IF(1&gt;nA,"",INDEX(Configuracion!$E$13:$E$20,1))</f>
        <v>Nativas</v>
      </c>
      <c r="C47" s="28">
        <f>IF(1&gt;nA,"",SUMPRODUCT(INDEX($C8:$J8,1):INDEX($C8:$J8,nA),INDEX($C$43:$J$43,1):INDEX($C$43:$J$43,nA)))</f>
        <v>0.49206349206349209</v>
      </c>
      <c r="D47" s="28">
        <f>IF(1&gt;nA,"",$C$33)</f>
        <v>0.16378066378066378</v>
      </c>
      <c r="E47" s="36">
        <f>IF(1&gt;nA,"",C47/D47)</f>
        <v>3.0044052863436126</v>
      </c>
    </row>
    <row r="48" spans="2:10" ht="18" customHeight="1" x14ac:dyDescent="0.25">
      <c r="B48" s="23" t="str">
        <f>IF(2&gt;nA,"",INDEX(Configuracion!$E$13:$E$20,2))</f>
        <v>Multiplataforma</v>
      </c>
      <c r="C48" s="28">
        <f>IF(2&gt;nA,"",SUMPRODUCT(INDEX($C9:$J9,1):INDEX($C9:$J9,nA),INDEX($C$43:$J$43,1):INDEX($C$43:$J$43,nA)))</f>
        <v>0.89430014430014437</v>
      </c>
      <c r="D48" s="28">
        <f>IF(2&gt;nA,"",$C$34)</f>
        <v>0.29725829725829728</v>
      </c>
      <c r="E48" s="36">
        <f>IF(2&gt;nA,"",C48/D48)</f>
        <v>3.008495145631068</v>
      </c>
    </row>
    <row r="49" spans="2:10" ht="18" customHeight="1" x14ac:dyDescent="0.25">
      <c r="B49" s="23" t="str">
        <f>IF(3&gt;nA,"",INDEX(Configuracion!$E$13:$E$20,3))</f>
        <v>Aplicación web</v>
      </c>
      <c r="C49" s="28">
        <f>IF(3&gt;nA,"",SUMPRODUCT(INDEX($C10:$J10,1):INDEX($C10:$J10,nA),INDEX($C$43:$J$43,1):INDEX($C$43:$J$43,nA)))</f>
        <v>1.6248196248196249</v>
      </c>
      <c r="D49" s="28">
        <f>IF(3&gt;nA,"",$C$35)</f>
        <v>0.53896103896103897</v>
      </c>
      <c r="E49" s="36">
        <f>IF(3&gt;nA,"",C49/D49)</f>
        <v>3.0147255689424366</v>
      </c>
    </row>
    <row r="50" spans="2:10" ht="18" customHeight="1" x14ac:dyDescent="0.25">
      <c r="B50" s="23" t="str">
        <f>IF(4&gt;nA,"",INDEX(Configuracion!$E$13:$E$20,4))</f>
        <v/>
      </c>
      <c r="C50" s="28" t="str">
        <f>IF(4&gt;nA,"",SUMPRODUCT(INDEX($C11:$J11,1):INDEX($C11:$J11,nA),INDEX($C$43:$J$43,1):INDEX($C$43:$J$43,nA)))</f>
        <v/>
      </c>
      <c r="D50" s="28" t="str">
        <f>IF(4&gt;nA,"",$C$36)</f>
        <v/>
      </c>
      <c r="E50" s="36" t="str">
        <f>IF(4&gt;nA,"",C50/D50)</f>
        <v/>
      </c>
    </row>
    <row r="51" spans="2:10" ht="18" customHeight="1" x14ac:dyDescent="0.25">
      <c r="B51" s="23" t="str">
        <f>IF(5&gt;nA,"",INDEX(Configuracion!$E$13:$E$20,5))</f>
        <v/>
      </c>
      <c r="C51" s="28" t="str">
        <f>IF(5&gt;nA,"",SUMPRODUCT(INDEX($C12:$J12,1):INDEX($C12:$J12,nA),INDEX($C$43:$J$43,1):INDEX($C$43:$J$43,nA)))</f>
        <v/>
      </c>
      <c r="D51" s="28" t="str">
        <f>IF(5&gt;nA,"",$C$37)</f>
        <v/>
      </c>
      <c r="E51" s="36" t="str">
        <f>IF(5&gt;nA,"",C51/D51)</f>
        <v/>
      </c>
    </row>
    <row r="52" spans="2:10" ht="18" customHeight="1" x14ac:dyDescent="0.25">
      <c r="B52" s="23" t="str">
        <f>IF(6&gt;nA,"",INDEX(Configuracion!$E$13:$E$20,6))</f>
        <v/>
      </c>
      <c r="C52" s="28" t="str">
        <f>IF(6&gt;nA,"",SUMPRODUCT(INDEX($C13:$J13,1):INDEX($C13:$J13,nA),INDEX($C$43:$J$43,1):INDEX($C$43:$J$43,nA)))</f>
        <v/>
      </c>
      <c r="D52" s="28" t="str">
        <f>IF(6&gt;nA,"",$C$38)</f>
        <v/>
      </c>
      <c r="E52" s="36" t="str">
        <f>IF(6&gt;nA,"",C52/D52)</f>
        <v/>
      </c>
    </row>
    <row r="53" spans="2:10" ht="18" customHeight="1" x14ac:dyDescent="0.25">
      <c r="B53" s="23" t="str">
        <f>IF(7&gt;nA,"",INDEX(Configuracion!$E$13:$E$20,7))</f>
        <v/>
      </c>
      <c r="C53" s="28" t="str">
        <f>IF(7&gt;nA,"",SUMPRODUCT(INDEX($C14:$J14,1):INDEX($C14:$J14,nA),INDEX($C$43:$J$43,1):INDEX($C$43:$J$43,nA)))</f>
        <v/>
      </c>
      <c r="D53" s="28" t="str">
        <f>IF(7&gt;nA,"",$C$39)</f>
        <v/>
      </c>
      <c r="E53" s="36" t="str">
        <f>IF(7&gt;nA,"",C53/D53)</f>
        <v/>
      </c>
    </row>
    <row r="54" spans="2:10" ht="18" customHeight="1" x14ac:dyDescent="0.25">
      <c r="B54" s="23" t="str">
        <f>IF(8&gt;nA,"",INDEX(Configuracion!$E$13:$E$20,8))</f>
        <v/>
      </c>
      <c r="C54" s="28" t="str">
        <f>IF(8&gt;nA,"",SUMPRODUCT(INDEX($C15:$J15,1):INDEX($C15:$J15,nA),INDEX($C$43:$J$43,1):INDEX($C$43:$J$43,nA)))</f>
        <v/>
      </c>
      <c r="D54" s="28" t="str">
        <f>IF(8&gt;nA,"",$C$40)</f>
        <v/>
      </c>
      <c r="E54" s="36" t="str">
        <f>IF(8&gt;nA,"",C54/D54)</f>
        <v/>
      </c>
    </row>
    <row r="56" spans="2:10" ht="20.100000000000001" customHeight="1" x14ac:dyDescent="0.25">
      <c r="B56" s="85" t="s">
        <v>123</v>
      </c>
      <c r="C56" s="86"/>
      <c r="D56" s="86"/>
      <c r="E56" s="86"/>
      <c r="F56" s="86"/>
      <c r="G56" s="86"/>
      <c r="H56" s="86"/>
      <c r="I56" s="86"/>
      <c r="J56" s="86"/>
    </row>
    <row r="57" spans="2:10" x14ac:dyDescent="0.25">
      <c r="B57" s="37" t="s">
        <v>124</v>
      </c>
      <c r="C57" s="38">
        <f>AVERAGE(INDEX($E$47:$E$54,1):INDEX($E$47:$E$54,nA))</f>
        <v>3.0092086669723721</v>
      </c>
    </row>
    <row r="58" spans="2:10" x14ac:dyDescent="0.25">
      <c r="B58" s="37" t="s">
        <v>125</v>
      </c>
      <c r="C58" s="39">
        <f>nA</f>
        <v>3</v>
      </c>
    </row>
    <row r="59" spans="2:10" x14ac:dyDescent="0.25">
      <c r="B59" s="37" t="s">
        <v>126</v>
      </c>
      <c r="C59" s="38">
        <f>IF(nA&lt;2,0,(C57-C58)/(C58-1))</f>
        <v>4.6043334861860519E-3</v>
      </c>
    </row>
    <row r="60" spans="2:10" x14ac:dyDescent="0.25">
      <c r="B60" s="37" t="s">
        <v>127</v>
      </c>
      <c r="C60" s="40">
        <f>INDEX(RI_tabla,nA)</f>
        <v>0.57999999999999996</v>
      </c>
    </row>
    <row r="61" spans="2:10" ht="15.75" x14ac:dyDescent="0.25">
      <c r="B61" s="41" t="s">
        <v>128</v>
      </c>
      <c r="C61" s="42">
        <f>IF(nA&lt;3,0,IF(C60=0,0,C59/C60))</f>
        <v>7.938506010665607E-3</v>
      </c>
    </row>
    <row r="62" spans="2:10" ht="26.1" customHeight="1" x14ac:dyDescent="0.25">
      <c r="B62" s="43" t="s">
        <v>129</v>
      </c>
      <c r="C62" s="44">
        <f>C61</f>
        <v>7.938506010665607E-3</v>
      </c>
      <c r="D62" s="97" t="str">
        <f>IF(C61&lt;=0.1,"ACEPTABLE  ·  puedes seguir",IF(C61&lt;=0.2,"DUDOSO  ·  revisa las comparaciones mas extremas","RECHAZADO  ·  hay que reevaluar esta matriz"))</f>
        <v>ACEPTABLE  ·  puedes seguir</v>
      </c>
      <c r="E62" s="63"/>
      <c r="F62" s="63"/>
      <c r="G62" s="63"/>
      <c r="H62" s="63"/>
      <c r="I62" s="63"/>
      <c r="J62" s="63"/>
    </row>
    <row r="64" spans="2:10" ht="30" customHeight="1" x14ac:dyDescent="0.25">
      <c r="B64" s="64" t="str">
        <f>IF(C61&lt;=0.1,"Tus juicios son coherentes. Los pesos del PASO 4 se pueden usar.","Busca en la matriz del PASO 1 el numero mas extremo (un 7 o un 9) y preguntate si de verdad es para tanto. Bajalo un escalon y vuelve a mirar el CR.")</f>
        <v>Tus juicios son coherentes. Los pesos del PASO 4 se pueden usar.</v>
      </c>
      <c r="C64" s="65"/>
      <c r="D64" s="65"/>
      <c r="E64" s="65"/>
      <c r="F64" s="65"/>
      <c r="G64" s="65"/>
      <c r="H64" s="65"/>
      <c r="I64" s="65"/>
      <c r="J64" s="65"/>
    </row>
  </sheetData>
  <mergeCells count="21">
    <mergeCell ref="L16:M18"/>
    <mergeCell ref="E36:J36"/>
    <mergeCell ref="E39:J39"/>
    <mergeCell ref="E35:J35"/>
    <mergeCell ref="E38:J38"/>
    <mergeCell ref="B64:J64"/>
    <mergeCell ref="E32:J32"/>
    <mergeCell ref="B20:J20"/>
    <mergeCell ref="B45:J45"/>
    <mergeCell ref="E37:J37"/>
    <mergeCell ref="B56:J56"/>
    <mergeCell ref="D62:J62"/>
    <mergeCell ref="E40:J40"/>
    <mergeCell ref="E34:J34"/>
    <mergeCell ref="B2:J2"/>
    <mergeCell ref="B4:J4"/>
    <mergeCell ref="E33:J33"/>
    <mergeCell ref="B3:J3"/>
    <mergeCell ref="B31:J31"/>
    <mergeCell ref="B6:J6"/>
    <mergeCell ref="B17:J17"/>
  </mergeCells>
  <conditionalFormatting sqref="B47:E54">
    <cfRule type="expression" dxfId="78" priority="5">
      <formula>ROW()-46&gt;nA</formula>
    </cfRule>
  </conditionalFormatting>
  <conditionalFormatting sqref="B4:J4">
    <cfRule type="expression" dxfId="77" priority="1">
      <formula>3&gt;nC</formula>
    </cfRule>
  </conditionalFormatting>
  <conditionalFormatting sqref="B8:J15">
    <cfRule type="expression" dxfId="76" priority="2">
      <formula>OR(ROW()-7&gt;nA,COLUMN()-2&gt;nA)</formula>
    </cfRule>
  </conditionalFormatting>
  <conditionalFormatting sqref="B22:J29">
    <cfRule type="expression" dxfId="75" priority="3">
      <formula>OR(ROW()-21&gt;nA,COLUMN()-2&gt;nA)</formula>
    </cfRule>
  </conditionalFormatting>
  <conditionalFormatting sqref="B33:J40">
    <cfRule type="expression" dxfId="74" priority="4">
      <formula>ROW()-32&gt;nA</formula>
    </cfRule>
  </conditionalFormatting>
  <conditionalFormatting sqref="C62:J62">
    <cfRule type="expression" dxfId="73" priority="6">
      <formula>$C$61&lt;=0.1</formula>
    </cfRule>
    <cfRule type="expression" dxfId="72" priority="7">
      <formula>AND($C$61&gt;0.1,$C$61&lt;=0.2)</formula>
    </cfRule>
    <cfRule type="expression" dxfId="71" priority="8">
      <formula>$C$61&gt;0.2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8:J15" xr:uid="{00000000-0002-0000-05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B8A7D"/>
    <pageSetUpPr fitToPage="1"/>
  </sheetPr>
  <dimension ref="B2:M64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134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131</v>
      </c>
      <c r="C3" s="65"/>
      <c r="D3" s="65"/>
      <c r="E3" s="65"/>
      <c r="F3" s="65"/>
      <c r="G3" s="65"/>
      <c r="H3" s="65"/>
      <c r="I3" s="65"/>
      <c r="J3" s="65"/>
    </row>
    <row r="4" spans="2:13" ht="21.95" customHeight="1" x14ac:dyDescent="0.25">
      <c r="B4" s="102" t="str">
        <f>IF(4&gt;nC,"ESTA HOJA NO SE USA (solo definiste "&amp;nC&amp;" criterios)","Criterio 4: "&amp;INDEX(Configuracion!$C$13:$C$20,4))</f>
        <v>Criterio 4: Funciona sin internet</v>
      </c>
      <c r="C4" s="72"/>
      <c r="D4" s="72"/>
      <c r="E4" s="72"/>
      <c r="F4" s="72"/>
      <c r="G4" s="72"/>
      <c r="H4" s="72"/>
      <c r="I4" s="72"/>
      <c r="J4" s="72"/>
    </row>
    <row r="6" spans="2:13" ht="20.100000000000001" customHeight="1" x14ac:dyDescent="0.25">
      <c r="B6" s="87" t="s">
        <v>94</v>
      </c>
      <c r="C6" s="88"/>
      <c r="D6" s="88"/>
      <c r="E6" s="88"/>
      <c r="F6" s="88"/>
      <c r="G6" s="88"/>
      <c r="H6" s="88"/>
      <c r="I6" s="88"/>
      <c r="J6" s="88"/>
      <c r="L6" s="19" t="s">
        <v>95</v>
      </c>
      <c r="M6" s="20" t="s">
        <v>96</v>
      </c>
    </row>
    <row r="7" spans="2:13" ht="32.1" customHeight="1" x14ac:dyDescent="0.25">
      <c r="B7" s="21" t="s">
        <v>97</v>
      </c>
      <c r="C7" s="21" t="str">
        <f>IF(1&gt;nA,"",INDEX(Configuracion!$E$13:$E$20,1))</f>
        <v>Nativas</v>
      </c>
      <c r="D7" s="21" t="str">
        <f>IF(2&gt;nA,"",INDEX(Configuracion!$E$13:$E$20,2))</f>
        <v>Multiplataforma</v>
      </c>
      <c r="E7" s="21" t="str">
        <f>IF(3&gt;nA,"",INDEX(Configuracion!$E$13:$E$20,3))</f>
        <v>Aplicación web</v>
      </c>
      <c r="F7" s="21" t="str">
        <f>IF(4&gt;nA,"",INDEX(Configuracion!$E$13:$E$20,4))</f>
        <v/>
      </c>
      <c r="G7" s="21" t="str">
        <f>IF(5&gt;nA,"",INDEX(Configuracion!$E$13:$E$20,5))</f>
        <v/>
      </c>
      <c r="H7" s="21" t="str">
        <f>IF(6&gt;nA,"",INDEX(Configuracion!$E$13:$E$20,6))</f>
        <v/>
      </c>
      <c r="I7" s="21" t="str">
        <f>IF(7&gt;nA,"",INDEX(Configuracion!$E$13:$E$20,7))</f>
        <v/>
      </c>
      <c r="J7" s="21" t="str">
        <f>IF(8&gt;nA,"",INDEX(Configuracion!$E$13:$E$20,8))</f>
        <v/>
      </c>
      <c r="L7" s="22" t="s">
        <v>3</v>
      </c>
      <c r="M7" s="6" t="s">
        <v>98</v>
      </c>
    </row>
    <row r="8" spans="2:13" ht="18" customHeight="1" x14ac:dyDescent="0.25">
      <c r="B8" s="23" t="str">
        <f>IF(1&gt;nA,"",INDEX(Configuracion!$E$13:$E$20,1))</f>
        <v>Nativas</v>
      </c>
      <c r="C8" s="24">
        <f>IF(1&gt;nA,"",1)</f>
        <v>1</v>
      </c>
      <c r="D8" s="25">
        <v>1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L8" s="22" t="s">
        <v>9</v>
      </c>
      <c r="M8" s="6" t="s">
        <v>99</v>
      </c>
    </row>
    <row r="9" spans="2:13" ht="18" customHeight="1" x14ac:dyDescent="0.25">
      <c r="B9" s="23" t="str">
        <f>IF(2&gt;nA,"",INDEX(Configuracion!$E$13:$E$20,2))</f>
        <v>Multiplataforma</v>
      </c>
      <c r="C9" s="26">
        <f>IF(2&gt;nA,"",IF(D8="","",1/D8))</f>
        <v>1</v>
      </c>
      <c r="D9" s="24">
        <f>IF(2&gt;nA,"",1)</f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L9" s="22" t="s">
        <v>15</v>
      </c>
      <c r="M9" s="6" t="s">
        <v>100</v>
      </c>
    </row>
    <row r="10" spans="2:13" ht="18" customHeight="1" x14ac:dyDescent="0.25">
      <c r="B10" s="23" t="str">
        <f>IF(3&gt;nA,"",INDEX(Configuracion!$E$13:$E$20,3))</f>
        <v>Aplicación web</v>
      </c>
      <c r="C10" s="26">
        <f>IF(3&gt;nA,"",IF(E8="","",1/E8))</f>
        <v>1</v>
      </c>
      <c r="D10" s="26">
        <f>IF(3&gt;nA,"",IF(E9="","",1/E9))</f>
        <v>1</v>
      </c>
      <c r="E10" s="24">
        <f>IF(3&gt;nA,"",1)</f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L10" s="22" t="s">
        <v>33</v>
      </c>
      <c r="M10" s="6" t="s">
        <v>101</v>
      </c>
    </row>
    <row r="11" spans="2:13" ht="18" customHeight="1" x14ac:dyDescent="0.25">
      <c r="B11" s="23" t="str">
        <f>IF(4&gt;nA,"",INDEX(Configuracion!$E$13:$E$20,4))</f>
        <v/>
      </c>
      <c r="C11" s="26" t="str">
        <f>IF(4&gt;nA,"",IF(F8="","",1/F8))</f>
        <v/>
      </c>
      <c r="D11" s="26" t="str">
        <f>IF(4&gt;nA,"",IF(F9="","",1/F9))</f>
        <v/>
      </c>
      <c r="E11" s="26" t="str">
        <f>IF(4&gt;nA,"",IF(F10="","",1/F10))</f>
        <v/>
      </c>
      <c r="F11" s="24" t="str">
        <f>IF(4&gt;nA,"",1)</f>
        <v/>
      </c>
      <c r="G11" s="25">
        <v>1</v>
      </c>
      <c r="H11" s="25">
        <v>1</v>
      </c>
      <c r="I11" s="25">
        <v>1</v>
      </c>
      <c r="J11" s="25">
        <v>1</v>
      </c>
      <c r="L11" s="22" t="s">
        <v>37</v>
      </c>
      <c r="M11" s="6" t="s">
        <v>102</v>
      </c>
    </row>
    <row r="12" spans="2:13" ht="18" customHeight="1" x14ac:dyDescent="0.25">
      <c r="B12" s="23" t="str">
        <f>IF(5&gt;nA,"",INDEX(Configuracion!$E$13:$E$20,5))</f>
        <v/>
      </c>
      <c r="C12" s="26" t="str">
        <f>IF(5&gt;nA,"",IF(G8="","",1/G8))</f>
        <v/>
      </c>
      <c r="D12" s="26" t="str">
        <f>IF(5&gt;nA,"",IF(G9="","",1/G9))</f>
        <v/>
      </c>
      <c r="E12" s="26" t="str">
        <f>IF(5&gt;nA,"",IF(G10="","",1/G10))</f>
        <v/>
      </c>
      <c r="F12" s="26" t="str">
        <f>IF(5&gt;nA,"",IF(G11="","",1/G11))</f>
        <v/>
      </c>
      <c r="G12" s="24" t="str">
        <f>IF(5&gt;nA,"",1)</f>
        <v/>
      </c>
      <c r="H12" s="25">
        <v>1</v>
      </c>
      <c r="I12" s="25">
        <v>1</v>
      </c>
      <c r="J12" s="25">
        <v>1</v>
      </c>
      <c r="L12" s="22" t="s">
        <v>103</v>
      </c>
      <c r="M12" s="6" t="s">
        <v>104</v>
      </c>
    </row>
    <row r="13" spans="2:13" ht="18" customHeight="1" x14ac:dyDescent="0.25">
      <c r="B13" s="23" t="str">
        <f>IF(6&gt;nA,"",INDEX(Configuracion!$E$13:$E$20,6))</f>
        <v/>
      </c>
      <c r="C13" s="26" t="str">
        <f>IF(6&gt;nA,"",IF(H8="","",1/H8))</f>
        <v/>
      </c>
      <c r="D13" s="26" t="str">
        <f>IF(6&gt;nA,"",IF(H9="","",1/H9))</f>
        <v/>
      </c>
      <c r="E13" s="26" t="str">
        <f>IF(6&gt;nA,"",IF(H10="","",1/H10))</f>
        <v/>
      </c>
      <c r="F13" s="26" t="str">
        <f>IF(6&gt;nA,"",IF(H11="","",1/H11))</f>
        <v/>
      </c>
      <c r="G13" s="26" t="str">
        <f>IF(6&gt;nA,"",IF(H12="","",1/H12))</f>
        <v/>
      </c>
      <c r="H13" s="24" t="str">
        <f>IF(6&gt;nA,"",1)</f>
        <v/>
      </c>
      <c r="I13" s="25">
        <v>1</v>
      </c>
      <c r="J13" s="25">
        <v>1</v>
      </c>
      <c r="L13" s="22" t="s">
        <v>105</v>
      </c>
      <c r="M13" s="6" t="s">
        <v>106</v>
      </c>
    </row>
    <row r="14" spans="2:13" ht="18" customHeight="1" x14ac:dyDescent="0.25">
      <c r="B14" s="23" t="str">
        <f>IF(7&gt;nA,"",INDEX(Configuracion!$E$13:$E$20,7))</f>
        <v/>
      </c>
      <c r="C14" s="26" t="str">
        <f>IF(7&gt;nA,"",IF(I8="","",1/I8))</f>
        <v/>
      </c>
      <c r="D14" s="26" t="str">
        <f>IF(7&gt;nA,"",IF(I9="","",1/I9))</f>
        <v/>
      </c>
      <c r="E14" s="26" t="str">
        <f>IF(7&gt;nA,"",IF(I10="","",1/I10))</f>
        <v/>
      </c>
      <c r="F14" s="26" t="str">
        <f>IF(7&gt;nA,"",IF(I11="","",1/I11))</f>
        <v/>
      </c>
      <c r="G14" s="26" t="str">
        <f>IF(7&gt;nA,"",IF(I12="","",1/I12))</f>
        <v/>
      </c>
      <c r="H14" s="26" t="str">
        <f>IF(7&gt;nA,"",IF(I13="","",1/I13))</f>
        <v/>
      </c>
      <c r="I14" s="24" t="str">
        <f>IF(7&gt;nA,"",1)</f>
        <v/>
      </c>
      <c r="J14" s="25">
        <v>1</v>
      </c>
      <c r="L14" s="22" t="s">
        <v>107</v>
      </c>
      <c r="M14" s="6" t="s">
        <v>108</v>
      </c>
    </row>
    <row r="15" spans="2:13" ht="18" customHeight="1" x14ac:dyDescent="0.25">
      <c r="B15" s="23" t="str">
        <f>IF(8&gt;nA,"",INDEX(Configuracion!$E$13:$E$20,8))</f>
        <v/>
      </c>
      <c r="C15" s="26" t="str">
        <f>IF(8&gt;nA,"",IF(J8="","",1/J8))</f>
        <v/>
      </c>
      <c r="D15" s="26" t="str">
        <f>IF(8&gt;nA,"",IF(J9="","",1/J9))</f>
        <v/>
      </c>
      <c r="E15" s="26" t="str">
        <f>IF(8&gt;nA,"",IF(J10="","",1/J10))</f>
        <v/>
      </c>
      <c r="F15" s="26" t="str">
        <f>IF(8&gt;nA,"",IF(J11="","",1/J11))</f>
        <v/>
      </c>
      <c r="G15" s="26" t="str">
        <f>IF(8&gt;nA,"",IF(J12="","",1/J12))</f>
        <v/>
      </c>
      <c r="H15" s="26" t="str">
        <f>IF(8&gt;nA,"",IF(J13="","",1/J13))</f>
        <v/>
      </c>
      <c r="I15" s="26" t="str">
        <f>IF(8&gt;nA,"",IF(J14="","",1/J14))</f>
        <v/>
      </c>
      <c r="J15" s="24" t="str">
        <f>IF(8&gt;nA,"",1)</f>
        <v/>
      </c>
    </row>
    <row r="16" spans="2:13" x14ac:dyDescent="0.25">
      <c r="L16" s="99" t="s">
        <v>109</v>
      </c>
      <c r="M16" s="65"/>
    </row>
    <row r="17" spans="2:13" ht="20.100000000000001" customHeight="1" x14ac:dyDescent="0.25">
      <c r="B17" s="87" t="s">
        <v>110</v>
      </c>
      <c r="C17" s="88"/>
      <c r="D17" s="88"/>
      <c r="E17" s="88"/>
      <c r="F17" s="88"/>
      <c r="G17" s="88"/>
      <c r="H17" s="88"/>
      <c r="I17" s="88"/>
      <c r="J17" s="88"/>
      <c r="L17" s="65"/>
      <c r="M17" s="65"/>
    </row>
    <row r="18" spans="2:13" x14ac:dyDescent="0.25">
      <c r="B18" s="23" t="s">
        <v>111</v>
      </c>
      <c r="C18" s="27">
        <f>IF(1&gt;nA,"",SUM(INDEX(C$8:C$15,1):INDEX(C$8:C$15,nA)))</f>
        <v>3</v>
      </c>
      <c r="D18" s="27">
        <f>IF(2&gt;nA,"",SUM(INDEX(D$8:D$15,1):INDEX(D$8:D$15,nA)))</f>
        <v>3</v>
      </c>
      <c r="E18" s="27">
        <f>IF(3&gt;nA,"",SUM(INDEX(E$8:E$15,1):INDEX(E$8:E$15,nA)))</f>
        <v>3</v>
      </c>
      <c r="F18" s="27" t="str">
        <f>IF(4&gt;nA,"",SUM(INDEX(F$8:F$15,1):INDEX(F$8:F$15,nA)))</f>
        <v/>
      </c>
      <c r="G18" s="27" t="str">
        <f>IF(5&gt;nA,"",SUM(INDEX(G$8:G$15,1):INDEX(G$8:G$15,nA)))</f>
        <v/>
      </c>
      <c r="H18" s="27" t="str">
        <f>IF(6&gt;nA,"",SUM(INDEX(H$8:H$15,1):INDEX(H$8:H$15,nA)))</f>
        <v/>
      </c>
      <c r="I18" s="27" t="str">
        <f>IF(7&gt;nA,"",SUM(INDEX(I$8:I$15,1):INDEX(I$8:I$15,nA)))</f>
        <v/>
      </c>
      <c r="J18" s="27" t="str">
        <f>IF(8&gt;nA,"",SUM(INDEX(J$8:J$15,1):INDEX(J$8:J$15,nA)))</f>
        <v/>
      </c>
      <c r="L18" s="65"/>
      <c r="M18" s="65"/>
    </row>
    <row r="20" spans="2:13" ht="20.100000000000001" customHeight="1" x14ac:dyDescent="0.25">
      <c r="B20" s="87" t="s">
        <v>112</v>
      </c>
      <c r="C20" s="88"/>
      <c r="D20" s="88"/>
      <c r="E20" s="88"/>
      <c r="F20" s="88"/>
      <c r="G20" s="88"/>
      <c r="H20" s="88"/>
      <c r="I20" s="88"/>
      <c r="J20" s="88"/>
    </row>
    <row r="21" spans="2:13" ht="32.1" customHeight="1" x14ac:dyDescent="0.25">
      <c r="B21" s="21" t="s">
        <v>97</v>
      </c>
      <c r="C21" s="21" t="str">
        <f>IF(1&gt;nA,"",INDEX(Configuracion!$E$13:$E$20,1))</f>
        <v>Nativas</v>
      </c>
      <c r="D21" s="21" t="str">
        <f>IF(2&gt;nA,"",INDEX(Configuracion!$E$13:$E$20,2))</f>
        <v>Multiplataforma</v>
      </c>
      <c r="E21" s="21" t="str">
        <f>IF(3&gt;nA,"",INDEX(Configuracion!$E$13:$E$20,3))</f>
        <v>Aplicación web</v>
      </c>
      <c r="F21" s="21" t="str">
        <f>IF(4&gt;nA,"",INDEX(Configuracion!$E$13:$E$20,4))</f>
        <v/>
      </c>
      <c r="G21" s="21" t="str">
        <f>IF(5&gt;nA,"",INDEX(Configuracion!$E$13:$E$20,5))</f>
        <v/>
      </c>
      <c r="H21" s="21" t="str">
        <f>IF(6&gt;nA,"",INDEX(Configuracion!$E$13:$E$20,6))</f>
        <v/>
      </c>
      <c r="I21" s="21" t="str">
        <f>IF(7&gt;nA,"",INDEX(Configuracion!$E$13:$E$20,7))</f>
        <v/>
      </c>
      <c r="J21" s="21" t="str">
        <f>IF(8&gt;nA,"",INDEX(Configuracion!$E$13:$E$20,8))</f>
        <v/>
      </c>
    </row>
    <row r="22" spans="2:13" ht="18" customHeight="1" x14ac:dyDescent="0.25">
      <c r="B22" s="23" t="str">
        <f>IF(1&gt;nA,"",INDEX(Configuracion!$E$13:$E$20,1))</f>
        <v>Nativas</v>
      </c>
      <c r="C22" s="28">
        <f>IF(OR(1&gt;nA,1&gt;nA),"",C8/C$18)</f>
        <v>0.33333333333333331</v>
      </c>
      <c r="D22" s="28">
        <f>IF(OR(1&gt;nA,2&gt;nA),"",D8/D$18)</f>
        <v>0.33333333333333331</v>
      </c>
      <c r="E22" s="28">
        <f>IF(OR(1&gt;nA,3&gt;nA),"",E8/E$18)</f>
        <v>0.33333333333333331</v>
      </c>
      <c r="F22" s="28" t="str">
        <f>IF(OR(1&gt;nA,4&gt;nA),"",F8/F$18)</f>
        <v/>
      </c>
      <c r="G22" s="28" t="str">
        <f>IF(OR(1&gt;nA,5&gt;nA),"",G8/G$18)</f>
        <v/>
      </c>
      <c r="H22" s="28" t="str">
        <f>IF(OR(1&gt;nA,6&gt;nA),"",H8/H$18)</f>
        <v/>
      </c>
      <c r="I22" s="28" t="str">
        <f>IF(OR(1&gt;nA,7&gt;nA),"",I8/I$18)</f>
        <v/>
      </c>
      <c r="J22" s="28" t="str">
        <f>IF(OR(1&gt;nA,8&gt;nA),"",J8/J$18)</f>
        <v/>
      </c>
    </row>
    <row r="23" spans="2:13" ht="18" customHeight="1" x14ac:dyDescent="0.25">
      <c r="B23" s="23" t="str">
        <f>IF(2&gt;nA,"",INDEX(Configuracion!$E$13:$E$20,2))</f>
        <v>Multiplataforma</v>
      </c>
      <c r="C23" s="28">
        <f>IF(OR(2&gt;nA,1&gt;nA),"",C9/C$18)</f>
        <v>0.33333333333333331</v>
      </c>
      <c r="D23" s="28">
        <f>IF(OR(2&gt;nA,2&gt;nA),"",D9/D$18)</f>
        <v>0.33333333333333331</v>
      </c>
      <c r="E23" s="28">
        <f>IF(OR(2&gt;nA,3&gt;nA),"",E9/E$18)</f>
        <v>0.33333333333333331</v>
      </c>
      <c r="F23" s="28" t="str">
        <f>IF(OR(2&gt;nA,4&gt;nA),"",F9/F$18)</f>
        <v/>
      </c>
      <c r="G23" s="28" t="str">
        <f>IF(OR(2&gt;nA,5&gt;nA),"",G9/G$18)</f>
        <v/>
      </c>
      <c r="H23" s="28" t="str">
        <f>IF(OR(2&gt;nA,6&gt;nA),"",H9/H$18)</f>
        <v/>
      </c>
      <c r="I23" s="28" t="str">
        <f>IF(OR(2&gt;nA,7&gt;nA),"",I9/I$18)</f>
        <v/>
      </c>
      <c r="J23" s="28" t="str">
        <f>IF(OR(2&gt;nA,8&gt;nA),"",J9/J$18)</f>
        <v/>
      </c>
    </row>
    <row r="24" spans="2:13" ht="18" customHeight="1" x14ac:dyDescent="0.25">
      <c r="B24" s="23" t="str">
        <f>IF(3&gt;nA,"",INDEX(Configuracion!$E$13:$E$20,3))</f>
        <v>Aplicación web</v>
      </c>
      <c r="C24" s="28">
        <f>IF(OR(3&gt;nA,1&gt;nA),"",C10/C$18)</f>
        <v>0.33333333333333331</v>
      </c>
      <c r="D24" s="28">
        <f>IF(OR(3&gt;nA,2&gt;nA),"",D10/D$18)</f>
        <v>0.33333333333333331</v>
      </c>
      <c r="E24" s="28">
        <f>IF(OR(3&gt;nA,3&gt;nA),"",E10/E$18)</f>
        <v>0.33333333333333331</v>
      </c>
      <c r="F24" s="28" t="str">
        <f>IF(OR(3&gt;nA,4&gt;nA),"",F10/F$18)</f>
        <v/>
      </c>
      <c r="G24" s="28" t="str">
        <f>IF(OR(3&gt;nA,5&gt;nA),"",G10/G$18)</f>
        <v/>
      </c>
      <c r="H24" s="28" t="str">
        <f>IF(OR(3&gt;nA,6&gt;nA),"",H10/H$18)</f>
        <v/>
      </c>
      <c r="I24" s="28" t="str">
        <f>IF(OR(3&gt;nA,7&gt;nA),"",I10/I$18)</f>
        <v/>
      </c>
      <c r="J24" s="28" t="str">
        <f>IF(OR(3&gt;nA,8&gt;nA),"",J10/J$18)</f>
        <v/>
      </c>
    </row>
    <row r="25" spans="2:13" ht="18" customHeight="1" x14ac:dyDescent="0.25">
      <c r="B25" s="23" t="str">
        <f>IF(4&gt;nA,"",INDEX(Configuracion!$E$13:$E$20,4))</f>
        <v/>
      </c>
      <c r="C25" s="28" t="str">
        <f>IF(OR(4&gt;nA,1&gt;nA),"",C11/C$18)</f>
        <v/>
      </c>
      <c r="D25" s="28" t="str">
        <f>IF(OR(4&gt;nA,2&gt;nA),"",D11/D$18)</f>
        <v/>
      </c>
      <c r="E25" s="28" t="str">
        <f>IF(OR(4&gt;nA,3&gt;nA),"",E11/E$18)</f>
        <v/>
      </c>
      <c r="F25" s="28" t="str">
        <f>IF(OR(4&gt;nA,4&gt;nA),"",F11/F$18)</f>
        <v/>
      </c>
      <c r="G25" s="28" t="str">
        <f>IF(OR(4&gt;nA,5&gt;nA),"",G11/G$18)</f>
        <v/>
      </c>
      <c r="H25" s="28" t="str">
        <f>IF(OR(4&gt;nA,6&gt;nA),"",H11/H$18)</f>
        <v/>
      </c>
      <c r="I25" s="28" t="str">
        <f>IF(OR(4&gt;nA,7&gt;nA),"",I11/I$18)</f>
        <v/>
      </c>
      <c r="J25" s="28" t="str">
        <f>IF(OR(4&gt;nA,8&gt;nA),"",J11/J$18)</f>
        <v/>
      </c>
    </row>
    <row r="26" spans="2:13" ht="18" customHeight="1" x14ac:dyDescent="0.25">
      <c r="B26" s="23" t="str">
        <f>IF(5&gt;nA,"",INDEX(Configuracion!$E$13:$E$20,5))</f>
        <v/>
      </c>
      <c r="C26" s="28" t="str">
        <f>IF(OR(5&gt;nA,1&gt;nA),"",C12/C$18)</f>
        <v/>
      </c>
      <c r="D26" s="28" t="str">
        <f>IF(OR(5&gt;nA,2&gt;nA),"",D12/D$18)</f>
        <v/>
      </c>
      <c r="E26" s="28" t="str">
        <f>IF(OR(5&gt;nA,3&gt;nA),"",E12/E$18)</f>
        <v/>
      </c>
      <c r="F26" s="28" t="str">
        <f>IF(OR(5&gt;nA,4&gt;nA),"",F12/F$18)</f>
        <v/>
      </c>
      <c r="G26" s="28" t="str">
        <f>IF(OR(5&gt;nA,5&gt;nA),"",G12/G$18)</f>
        <v/>
      </c>
      <c r="H26" s="28" t="str">
        <f>IF(OR(5&gt;nA,6&gt;nA),"",H12/H$18)</f>
        <v/>
      </c>
      <c r="I26" s="28" t="str">
        <f>IF(OR(5&gt;nA,7&gt;nA),"",I12/I$18)</f>
        <v/>
      </c>
      <c r="J26" s="28" t="str">
        <f>IF(OR(5&gt;nA,8&gt;nA),"",J12/J$18)</f>
        <v/>
      </c>
    </row>
    <row r="27" spans="2:13" ht="18" customHeight="1" x14ac:dyDescent="0.25">
      <c r="B27" s="23" t="str">
        <f>IF(6&gt;nA,"",INDEX(Configuracion!$E$13:$E$20,6))</f>
        <v/>
      </c>
      <c r="C27" s="28" t="str">
        <f>IF(OR(6&gt;nA,1&gt;nA),"",C13/C$18)</f>
        <v/>
      </c>
      <c r="D27" s="28" t="str">
        <f>IF(OR(6&gt;nA,2&gt;nA),"",D13/D$18)</f>
        <v/>
      </c>
      <c r="E27" s="28" t="str">
        <f>IF(OR(6&gt;nA,3&gt;nA),"",E13/E$18)</f>
        <v/>
      </c>
      <c r="F27" s="28" t="str">
        <f>IF(OR(6&gt;nA,4&gt;nA),"",F13/F$18)</f>
        <v/>
      </c>
      <c r="G27" s="28" t="str">
        <f>IF(OR(6&gt;nA,5&gt;nA),"",G13/G$18)</f>
        <v/>
      </c>
      <c r="H27" s="28" t="str">
        <f>IF(OR(6&gt;nA,6&gt;nA),"",H13/H$18)</f>
        <v/>
      </c>
      <c r="I27" s="28" t="str">
        <f>IF(OR(6&gt;nA,7&gt;nA),"",I13/I$18)</f>
        <v/>
      </c>
      <c r="J27" s="28" t="str">
        <f>IF(OR(6&gt;nA,8&gt;nA),"",J13/J$18)</f>
        <v/>
      </c>
    </row>
    <row r="28" spans="2:13" ht="18" customHeight="1" x14ac:dyDescent="0.25">
      <c r="B28" s="23" t="str">
        <f>IF(7&gt;nA,"",INDEX(Configuracion!$E$13:$E$20,7))</f>
        <v/>
      </c>
      <c r="C28" s="28" t="str">
        <f>IF(OR(7&gt;nA,1&gt;nA),"",C14/C$18)</f>
        <v/>
      </c>
      <c r="D28" s="28" t="str">
        <f>IF(OR(7&gt;nA,2&gt;nA),"",D14/D$18)</f>
        <v/>
      </c>
      <c r="E28" s="28" t="str">
        <f>IF(OR(7&gt;nA,3&gt;nA),"",E14/E$18)</f>
        <v/>
      </c>
      <c r="F28" s="28" t="str">
        <f>IF(OR(7&gt;nA,4&gt;nA),"",F14/F$18)</f>
        <v/>
      </c>
      <c r="G28" s="28" t="str">
        <f>IF(OR(7&gt;nA,5&gt;nA),"",G14/G$18)</f>
        <v/>
      </c>
      <c r="H28" s="28" t="str">
        <f>IF(OR(7&gt;nA,6&gt;nA),"",H14/H$18)</f>
        <v/>
      </c>
      <c r="I28" s="28" t="str">
        <f>IF(OR(7&gt;nA,7&gt;nA),"",I14/I$18)</f>
        <v/>
      </c>
      <c r="J28" s="28" t="str">
        <f>IF(OR(7&gt;nA,8&gt;nA),"",J14/J$18)</f>
        <v/>
      </c>
    </row>
    <row r="29" spans="2:13" ht="18" customHeight="1" x14ac:dyDescent="0.25">
      <c r="B29" s="23" t="str">
        <f>IF(8&gt;nA,"",INDEX(Configuracion!$E$13:$E$20,8))</f>
        <v/>
      </c>
      <c r="C29" s="28" t="str">
        <f>IF(OR(8&gt;nA,1&gt;nA),"",C15/C$18)</f>
        <v/>
      </c>
      <c r="D29" s="28" t="str">
        <f>IF(OR(8&gt;nA,2&gt;nA),"",D15/D$18)</f>
        <v/>
      </c>
      <c r="E29" s="28" t="str">
        <f>IF(OR(8&gt;nA,3&gt;nA),"",E15/E$18)</f>
        <v/>
      </c>
      <c r="F29" s="28" t="str">
        <f>IF(OR(8&gt;nA,4&gt;nA),"",F15/F$18)</f>
        <v/>
      </c>
      <c r="G29" s="28" t="str">
        <f>IF(OR(8&gt;nA,5&gt;nA),"",G15/G$18)</f>
        <v/>
      </c>
      <c r="H29" s="28" t="str">
        <f>IF(OR(8&gt;nA,6&gt;nA),"",H15/H$18)</f>
        <v/>
      </c>
      <c r="I29" s="28" t="str">
        <f>IF(OR(8&gt;nA,7&gt;nA),"",I15/I$18)</f>
        <v/>
      </c>
      <c r="J29" s="28" t="str">
        <f>IF(OR(8&gt;nA,8&gt;nA),"",J15/J$18)</f>
        <v/>
      </c>
    </row>
    <row r="31" spans="2:13" ht="20.100000000000001" customHeight="1" x14ac:dyDescent="0.25">
      <c r="B31" s="87" t="s">
        <v>113</v>
      </c>
      <c r="C31" s="88"/>
      <c r="D31" s="88"/>
      <c r="E31" s="88"/>
      <c r="F31" s="88"/>
      <c r="G31" s="88"/>
      <c r="H31" s="88"/>
      <c r="I31" s="88"/>
      <c r="J31" s="88"/>
    </row>
    <row r="32" spans="2:13" x14ac:dyDescent="0.25">
      <c r="B32" s="3" t="s">
        <v>114</v>
      </c>
      <c r="C32" s="3" t="s">
        <v>115</v>
      </c>
      <c r="D32" s="3" t="s">
        <v>116</v>
      </c>
      <c r="E32" s="100" t="s">
        <v>117</v>
      </c>
      <c r="F32" s="101"/>
      <c r="G32" s="101"/>
      <c r="H32" s="101"/>
      <c r="I32" s="101"/>
      <c r="J32" s="101"/>
    </row>
    <row r="33" spans="2:10" ht="18" customHeight="1" x14ac:dyDescent="0.25">
      <c r="B33" s="23" t="str">
        <f>IF(1&gt;nA,"",INDEX(Configuracion!$E$13:$E$20,1))</f>
        <v>Nativas</v>
      </c>
      <c r="C33" s="29">
        <f>IF(1&gt;nA,"",AVERAGE(INDEX($C22:$J22,1):INDEX($C22:$J22,nA)))</f>
        <v>0.33333333333333331</v>
      </c>
      <c r="D33" s="30">
        <f>IF(1&gt;nA,"",C33)</f>
        <v>0.33333333333333331</v>
      </c>
      <c r="E33" s="98" t="str">
        <f>IF(1&gt;nA,"","De cada 100 puntos de importancia, este se lleva "&amp;TEXT(C33*100,"0,0")&amp;".")</f>
        <v>De cada 100 puntos de importancia, este se lleva 33.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IF(2&gt;nA,"",INDEX(Configuracion!$E$13:$E$20,2))</f>
        <v>Multiplataforma</v>
      </c>
      <c r="C34" s="29">
        <f>IF(2&gt;nA,"",AVERAGE(INDEX($C23:$J23,1):INDEX($C23:$J23,nA)))</f>
        <v>0.33333333333333331</v>
      </c>
      <c r="D34" s="30">
        <f>IF(2&gt;nA,"",C34)</f>
        <v>0.33333333333333331</v>
      </c>
      <c r="E34" s="98" t="str">
        <f>IF(2&gt;nA,"","De cada 100 puntos de importancia, este se lleva "&amp;TEXT(C34*100,"0,0")&amp;".")</f>
        <v>De cada 100 puntos de importancia, este se lleva 33.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IF(3&gt;nA,"",INDEX(Configuracion!$E$13:$E$20,3))</f>
        <v>Aplicación web</v>
      </c>
      <c r="C35" s="29">
        <f>IF(3&gt;nA,"",AVERAGE(INDEX($C24:$J24,1):INDEX($C24:$J24,nA)))</f>
        <v>0.33333333333333331</v>
      </c>
      <c r="D35" s="30">
        <f>IF(3&gt;nA,"",C35)</f>
        <v>0.33333333333333331</v>
      </c>
      <c r="E35" s="98" t="str">
        <f>IF(3&gt;nA,"","De cada 100 puntos de importancia, este se lleva "&amp;TEXT(C35*100,"0,0")&amp;".")</f>
        <v>De cada 100 puntos de importancia, este se lleva 33.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IF(4&gt;nA,"",INDEX(Configuracion!$E$13:$E$20,4))</f>
        <v/>
      </c>
      <c r="C36" s="29" t="str">
        <f>IF(4&gt;nA,"",AVERAGE(INDEX($C25:$J25,1):INDEX($C25:$J25,nA)))</f>
        <v/>
      </c>
      <c r="D36" s="30" t="str">
        <f>IF(4&gt;nA,"",C36)</f>
        <v/>
      </c>
      <c r="E36" s="98" t="str">
        <f>IF(4&gt;nA,"","De cada 100 puntos de importancia, este se lleva "&amp;TEXT(C36*100,"0,0")&amp;".")</f>
        <v/>
      </c>
      <c r="F36" s="63"/>
      <c r="G36" s="63"/>
      <c r="H36" s="63"/>
      <c r="I36" s="63"/>
      <c r="J36" s="63"/>
    </row>
    <row r="37" spans="2:10" ht="18" customHeight="1" x14ac:dyDescent="0.25">
      <c r="B37" s="23" t="str">
        <f>IF(5&gt;nA,"",INDEX(Configuracion!$E$13:$E$20,5))</f>
        <v/>
      </c>
      <c r="C37" s="29" t="str">
        <f>IF(5&gt;nA,"",AVERAGE(INDEX($C26:$J26,1):INDEX($C26:$J26,nA)))</f>
        <v/>
      </c>
      <c r="D37" s="30" t="str">
        <f>IF(5&gt;nA,"",C37)</f>
        <v/>
      </c>
      <c r="E37" s="98" t="str">
        <f>IF(5&gt;nA,"","De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IF(6&gt;nA,"",INDEX(Configuracion!$E$13:$E$20,6))</f>
        <v/>
      </c>
      <c r="C38" s="29" t="str">
        <f>IF(6&gt;nA,"",AVERAGE(INDEX($C27:$J27,1):INDEX($C27:$J27,nA)))</f>
        <v/>
      </c>
      <c r="D38" s="30" t="str">
        <f>IF(6&gt;nA,"",C38)</f>
        <v/>
      </c>
      <c r="E38" s="98" t="str">
        <f>IF(6&gt;nA,"","De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IF(7&gt;nA,"",INDEX(Configuracion!$E$13:$E$20,7))</f>
        <v/>
      </c>
      <c r="C39" s="29" t="str">
        <f>IF(7&gt;nA,"",AVERAGE(INDEX($C28:$J28,1):INDEX($C28:$J28,nA)))</f>
        <v/>
      </c>
      <c r="D39" s="30" t="str">
        <f>IF(7&gt;nA,"",C39)</f>
        <v/>
      </c>
      <c r="E39" s="98" t="str">
        <f>IF(7&gt;nA,"","De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ht="18" customHeight="1" x14ac:dyDescent="0.25">
      <c r="B40" s="23" t="str">
        <f>IF(8&gt;nA,"",INDEX(Configuracion!$E$13:$E$20,8))</f>
        <v/>
      </c>
      <c r="C40" s="29" t="str">
        <f>IF(8&gt;nA,"",AVERAGE(INDEX($C29:$J29,1):INDEX($C29:$J29,nA)))</f>
        <v/>
      </c>
      <c r="D40" s="30" t="str">
        <f>IF(8&gt;nA,"",C40)</f>
        <v/>
      </c>
      <c r="E40" s="98" t="str">
        <f>IF(8&gt;nA,"","De cada 100 puntos de importancia, este se lleva "&amp;TEXT(C40*100,"0,0")&amp;".")</f>
        <v/>
      </c>
      <c r="F40" s="63"/>
      <c r="G40" s="63"/>
      <c r="H40" s="63"/>
      <c r="I40" s="63"/>
      <c r="J40" s="63"/>
    </row>
    <row r="41" spans="2:10" x14ac:dyDescent="0.25">
      <c r="B41" s="31" t="s">
        <v>118</v>
      </c>
      <c r="C41" s="32">
        <f>SUM(INDEX($C$33:$C$40,1):INDEX($C$33:$C$40,nA))</f>
        <v>1</v>
      </c>
    </row>
    <row r="43" spans="2:10" x14ac:dyDescent="0.25">
      <c r="B43" s="33" t="s">
        <v>119</v>
      </c>
      <c r="C43" s="34">
        <f>IF(1&gt;nA,"",$C$33)</f>
        <v>0.33333333333333331</v>
      </c>
      <c r="D43" s="34">
        <f>IF(2&gt;nA,"",$C$34)</f>
        <v>0.33333333333333331</v>
      </c>
      <c r="E43" s="34">
        <f>IF(3&gt;nA,"",$C$35)</f>
        <v>0.33333333333333331</v>
      </c>
      <c r="F43" s="34" t="str">
        <f>IF(4&gt;nA,"",$C$36)</f>
        <v/>
      </c>
      <c r="G43" s="34" t="str">
        <f>IF(5&gt;nA,"",$C$37)</f>
        <v/>
      </c>
      <c r="H43" s="34" t="str">
        <f>IF(6&gt;nA,"",$C$38)</f>
        <v/>
      </c>
      <c r="I43" s="34" t="str">
        <f>IF(7&gt;nA,"",$C$39)</f>
        <v/>
      </c>
      <c r="J43" s="34" t="str">
        <f>IF(8&gt;nA,"",$C$40)</f>
        <v/>
      </c>
    </row>
    <row r="45" spans="2:10" ht="20.100000000000001" customHeight="1" x14ac:dyDescent="0.25">
      <c r="B45" s="87" t="s">
        <v>120</v>
      </c>
      <c r="C45" s="88"/>
      <c r="D45" s="88"/>
      <c r="E45" s="88"/>
      <c r="F45" s="88"/>
      <c r="G45" s="88"/>
      <c r="H45" s="88"/>
      <c r="I45" s="88"/>
      <c r="J45" s="88"/>
    </row>
    <row r="46" spans="2:10" ht="27.95" customHeight="1" x14ac:dyDescent="0.25">
      <c r="B46" s="35" t="s">
        <v>114</v>
      </c>
      <c r="C46" s="35" t="s">
        <v>121</v>
      </c>
      <c r="D46" s="35" t="s">
        <v>115</v>
      </c>
      <c r="E46" s="35" t="s">
        <v>122</v>
      </c>
    </row>
    <row r="47" spans="2:10" ht="18" customHeight="1" x14ac:dyDescent="0.25">
      <c r="B47" s="23" t="str">
        <f>IF(1&gt;nA,"",INDEX(Configuracion!$E$13:$E$20,1))</f>
        <v>Nativas</v>
      </c>
      <c r="C47" s="28">
        <f>IF(1&gt;nA,"",SUMPRODUCT(INDEX($C8:$J8,1):INDEX($C8:$J8,nA),INDEX($C$43:$J$43,1):INDEX($C$43:$J$43,nA)))</f>
        <v>1</v>
      </c>
      <c r="D47" s="28">
        <f>IF(1&gt;nA,"",$C$33)</f>
        <v>0.33333333333333331</v>
      </c>
      <c r="E47" s="36">
        <f>IF(1&gt;nA,"",C47/D47)</f>
        <v>3</v>
      </c>
    </row>
    <row r="48" spans="2:10" ht="18" customHeight="1" x14ac:dyDescent="0.25">
      <c r="B48" s="23" t="str">
        <f>IF(2&gt;nA,"",INDEX(Configuracion!$E$13:$E$20,2))</f>
        <v>Multiplataforma</v>
      </c>
      <c r="C48" s="28">
        <f>IF(2&gt;nA,"",SUMPRODUCT(INDEX($C9:$J9,1):INDEX($C9:$J9,nA),INDEX($C$43:$J$43,1):INDEX($C$43:$J$43,nA)))</f>
        <v>1</v>
      </c>
      <c r="D48" s="28">
        <f>IF(2&gt;nA,"",$C$34)</f>
        <v>0.33333333333333331</v>
      </c>
      <c r="E48" s="36">
        <f>IF(2&gt;nA,"",C48/D48)</f>
        <v>3</v>
      </c>
    </row>
    <row r="49" spans="2:10" ht="18" customHeight="1" x14ac:dyDescent="0.25">
      <c r="B49" s="23" t="str">
        <f>IF(3&gt;nA,"",INDEX(Configuracion!$E$13:$E$20,3))</f>
        <v>Aplicación web</v>
      </c>
      <c r="C49" s="28">
        <f>IF(3&gt;nA,"",SUMPRODUCT(INDEX($C10:$J10,1):INDEX($C10:$J10,nA),INDEX($C$43:$J$43,1):INDEX($C$43:$J$43,nA)))</f>
        <v>1</v>
      </c>
      <c r="D49" s="28">
        <f>IF(3&gt;nA,"",$C$35)</f>
        <v>0.33333333333333331</v>
      </c>
      <c r="E49" s="36">
        <f>IF(3&gt;nA,"",C49/D49)</f>
        <v>3</v>
      </c>
    </row>
    <row r="50" spans="2:10" ht="18" customHeight="1" x14ac:dyDescent="0.25">
      <c r="B50" s="23" t="str">
        <f>IF(4&gt;nA,"",INDEX(Configuracion!$E$13:$E$20,4))</f>
        <v/>
      </c>
      <c r="C50" s="28" t="str">
        <f>IF(4&gt;nA,"",SUMPRODUCT(INDEX($C11:$J11,1):INDEX($C11:$J11,nA),INDEX($C$43:$J$43,1):INDEX($C$43:$J$43,nA)))</f>
        <v/>
      </c>
      <c r="D50" s="28" t="str">
        <f>IF(4&gt;nA,"",$C$36)</f>
        <v/>
      </c>
      <c r="E50" s="36" t="str">
        <f>IF(4&gt;nA,"",C50/D50)</f>
        <v/>
      </c>
    </row>
    <row r="51" spans="2:10" ht="18" customHeight="1" x14ac:dyDescent="0.25">
      <c r="B51" s="23" t="str">
        <f>IF(5&gt;nA,"",INDEX(Configuracion!$E$13:$E$20,5))</f>
        <v/>
      </c>
      <c r="C51" s="28" t="str">
        <f>IF(5&gt;nA,"",SUMPRODUCT(INDEX($C12:$J12,1):INDEX($C12:$J12,nA),INDEX($C$43:$J$43,1):INDEX($C$43:$J$43,nA)))</f>
        <v/>
      </c>
      <c r="D51" s="28" t="str">
        <f>IF(5&gt;nA,"",$C$37)</f>
        <v/>
      </c>
      <c r="E51" s="36" t="str">
        <f>IF(5&gt;nA,"",C51/D51)</f>
        <v/>
      </c>
    </row>
    <row r="52" spans="2:10" ht="18" customHeight="1" x14ac:dyDescent="0.25">
      <c r="B52" s="23" t="str">
        <f>IF(6&gt;nA,"",INDEX(Configuracion!$E$13:$E$20,6))</f>
        <v/>
      </c>
      <c r="C52" s="28" t="str">
        <f>IF(6&gt;nA,"",SUMPRODUCT(INDEX($C13:$J13,1):INDEX($C13:$J13,nA),INDEX($C$43:$J$43,1):INDEX($C$43:$J$43,nA)))</f>
        <v/>
      </c>
      <c r="D52" s="28" t="str">
        <f>IF(6&gt;nA,"",$C$38)</f>
        <v/>
      </c>
      <c r="E52" s="36" t="str">
        <f>IF(6&gt;nA,"",C52/D52)</f>
        <v/>
      </c>
    </row>
    <row r="53" spans="2:10" ht="18" customHeight="1" x14ac:dyDescent="0.25">
      <c r="B53" s="23" t="str">
        <f>IF(7&gt;nA,"",INDEX(Configuracion!$E$13:$E$20,7))</f>
        <v/>
      </c>
      <c r="C53" s="28" t="str">
        <f>IF(7&gt;nA,"",SUMPRODUCT(INDEX($C14:$J14,1):INDEX($C14:$J14,nA),INDEX($C$43:$J$43,1):INDEX($C$43:$J$43,nA)))</f>
        <v/>
      </c>
      <c r="D53" s="28" t="str">
        <f>IF(7&gt;nA,"",$C$39)</f>
        <v/>
      </c>
      <c r="E53" s="36" t="str">
        <f>IF(7&gt;nA,"",C53/D53)</f>
        <v/>
      </c>
    </row>
    <row r="54" spans="2:10" ht="18" customHeight="1" x14ac:dyDescent="0.25">
      <c r="B54" s="23" t="str">
        <f>IF(8&gt;nA,"",INDEX(Configuracion!$E$13:$E$20,8))</f>
        <v/>
      </c>
      <c r="C54" s="28" t="str">
        <f>IF(8&gt;nA,"",SUMPRODUCT(INDEX($C15:$J15,1):INDEX($C15:$J15,nA),INDEX($C$43:$J$43,1):INDEX($C$43:$J$43,nA)))</f>
        <v/>
      </c>
      <c r="D54" s="28" t="str">
        <f>IF(8&gt;nA,"",$C$40)</f>
        <v/>
      </c>
      <c r="E54" s="36" t="str">
        <f>IF(8&gt;nA,"",C54/D54)</f>
        <v/>
      </c>
    </row>
    <row r="56" spans="2:10" ht="20.100000000000001" customHeight="1" x14ac:dyDescent="0.25">
      <c r="B56" s="85" t="s">
        <v>123</v>
      </c>
      <c r="C56" s="86"/>
      <c r="D56" s="86"/>
      <c r="E56" s="86"/>
      <c r="F56" s="86"/>
      <c r="G56" s="86"/>
      <c r="H56" s="86"/>
      <c r="I56" s="86"/>
      <c r="J56" s="86"/>
    </row>
    <row r="57" spans="2:10" x14ac:dyDescent="0.25">
      <c r="B57" s="37" t="s">
        <v>124</v>
      </c>
      <c r="C57" s="38">
        <f>AVERAGE(INDEX($E$47:$E$54,1):INDEX($E$47:$E$54,nA))</f>
        <v>3</v>
      </c>
    </row>
    <row r="58" spans="2:10" x14ac:dyDescent="0.25">
      <c r="B58" s="37" t="s">
        <v>125</v>
      </c>
      <c r="C58" s="39">
        <f>nA</f>
        <v>3</v>
      </c>
    </row>
    <row r="59" spans="2:10" x14ac:dyDescent="0.25">
      <c r="B59" s="37" t="s">
        <v>126</v>
      </c>
      <c r="C59" s="38">
        <f>IF(nA&lt;2,0,(C57-C58)/(C58-1))</f>
        <v>0</v>
      </c>
    </row>
    <row r="60" spans="2:10" x14ac:dyDescent="0.25">
      <c r="B60" s="37" t="s">
        <v>127</v>
      </c>
      <c r="C60" s="40">
        <f>INDEX(RI_tabla,nA)</f>
        <v>0.57999999999999996</v>
      </c>
    </row>
    <row r="61" spans="2:10" ht="15.75" x14ac:dyDescent="0.25">
      <c r="B61" s="41" t="s">
        <v>128</v>
      </c>
      <c r="C61" s="42">
        <f>IF(nA&lt;3,0,IF(C60=0,0,C59/C60))</f>
        <v>0</v>
      </c>
    </row>
    <row r="62" spans="2:10" ht="26.1" customHeight="1" x14ac:dyDescent="0.25">
      <c r="B62" s="43" t="s">
        <v>129</v>
      </c>
      <c r="C62" s="44">
        <f>C61</f>
        <v>0</v>
      </c>
      <c r="D62" s="97" t="str">
        <f>IF(C61&lt;=0.1,"ACEPTABLE  ·  puedes seguir",IF(C61&lt;=0.2,"DUDOSO  ·  revisa las comparaciones mas extremas","RECHAZADO  ·  hay que reevaluar esta matriz"))</f>
        <v>ACEPTABLE  ·  puedes seguir</v>
      </c>
      <c r="E62" s="63"/>
      <c r="F62" s="63"/>
      <c r="G62" s="63"/>
      <c r="H62" s="63"/>
      <c r="I62" s="63"/>
      <c r="J62" s="63"/>
    </row>
    <row r="64" spans="2:10" ht="30" customHeight="1" x14ac:dyDescent="0.25">
      <c r="B64" s="64" t="str">
        <f>IF(C61&lt;=0.1,"Tus juicios son coherentes. Los pesos del PASO 4 se pueden usar.","Busca en la matriz del PASO 1 el numero mas extremo (un 7 o un 9) y preguntate si de verdad es para tanto. Bajalo un escalon y vuelve a mirar el CR.")</f>
        <v>Tus juicios son coherentes. Los pesos del PASO 4 se pueden usar.</v>
      </c>
      <c r="C64" s="65"/>
      <c r="D64" s="65"/>
      <c r="E64" s="65"/>
      <c r="F64" s="65"/>
      <c r="G64" s="65"/>
      <c r="H64" s="65"/>
      <c r="I64" s="65"/>
      <c r="J64" s="65"/>
    </row>
  </sheetData>
  <mergeCells count="21">
    <mergeCell ref="L16:M18"/>
    <mergeCell ref="E36:J36"/>
    <mergeCell ref="E39:J39"/>
    <mergeCell ref="E35:J35"/>
    <mergeCell ref="E38:J38"/>
    <mergeCell ref="B64:J64"/>
    <mergeCell ref="E32:J32"/>
    <mergeCell ref="B20:J20"/>
    <mergeCell ref="B45:J45"/>
    <mergeCell ref="E37:J37"/>
    <mergeCell ref="B56:J56"/>
    <mergeCell ref="D62:J62"/>
    <mergeCell ref="E40:J40"/>
    <mergeCell ref="E34:J34"/>
    <mergeCell ref="B2:J2"/>
    <mergeCell ref="B4:J4"/>
    <mergeCell ref="E33:J33"/>
    <mergeCell ref="B3:J3"/>
    <mergeCell ref="B31:J31"/>
    <mergeCell ref="B6:J6"/>
    <mergeCell ref="B17:J17"/>
  </mergeCells>
  <conditionalFormatting sqref="B47:E54">
    <cfRule type="expression" dxfId="70" priority="5">
      <formula>ROW()-46&gt;nA</formula>
    </cfRule>
  </conditionalFormatting>
  <conditionalFormatting sqref="B4:J4">
    <cfRule type="expression" dxfId="69" priority="1">
      <formula>4&gt;nC</formula>
    </cfRule>
  </conditionalFormatting>
  <conditionalFormatting sqref="B8:J15">
    <cfRule type="expression" dxfId="68" priority="2">
      <formula>OR(ROW()-7&gt;nA,COLUMN()-2&gt;nA)</formula>
    </cfRule>
  </conditionalFormatting>
  <conditionalFormatting sqref="B22:J29">
    <cfRule type="expression" dxfId="67" priority="3">
      <formula>OR(ROW()-21&gt;nA,COLUMN()-2&gt;nA)</formula>
    </cfRule>
  </conditionalFormatting>
  <conditionalFormatting sqref="B33:J40">
    <cfRule type="expression" dxfId="66" priority="4">
      <formula>ROW()-32&gt;nA</formula>
    </cfRule>
  </conditionalFormatting>
  <conditionalFormatting sqref="C62:J62">
    <cfRule type="expression" dxfId="65" priority="6">
      <formula>$C$61&lt;=0.1</formula>
    </cfRule>
    <cfRule type="expression" dxfId="64" priority="7">
      <formula>AND($C$61&gt;0.1,$C$61&lt;=0.2)</formula>
    </cfRule>
    <cfRule type="expression" dxfId="63" priority="8">
      <formula>$C$61&gt;0.2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8:J15" xr:uid="{00000000-0002-0000-06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B8A7D"/>
    <pageSetUpPr fitToPage="1"/>
  </sheetPr>
  <dimension ref="B2:M64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135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131</v>
      </c>
      <c r="C3" s="65"/>
      <c r="D3" s="65"/>
      <c r="E3" s="65"/>
      <c r="F3" s="65"/>
      <c r="G3" s="65"/>
      <c r="H3" s="65"/>
      <c r="I3" s="65"/>
      <c r="J3" s="65"/>
    </row>
    <row r="4" spans="2:13" ht="21.95" customHeight="1" x14ac:dyDescent="0.25">
      <c r="B4" s="102" t="str">
        <f>IF(5&gt;nC,"ESTA HOJA NO SE USA (solo definiste "&amp;nC&amp;" criterios)","Criterio 5: "&amp;INDEX(Configuracion!$C$13:$C$20,5))</f>
        <v>Criterio 5: Seguridad</v>
      </c>
      <c r="C4" s="72"/>
      <c r="D4" s="72"/>
      <c r="E4" s="72"/>
      <c r="F4" s="72"/>
      <c r="G4" s="72"/>
      <c r="H4" s="72"/>
      <c r="I4" s="72"/>
      <c r="J4" s="72"/>
    </row>
    <row r="6" spans="2:13" ht="20.100000000000001" customHeight="1" x14ac:dyDescent="0.25">
      <c r="B6" s="87" t="s">
        <v>94</v>
      </c>
      <c r="C6" s="88"/>
      <c r="D6" s="88"/>
      <c r="E6" s="88"/>
      <c r="F6" s="88"/>
      <c r="G6" s="88"/>
      <c r="H6" s="88"/>
      <c r="I6" s="88"/>
      <c r="J6" s="88"/>
      <c r="L6" s="19" t="s">
        <v>95</v>
      </c>
      <c r="M6" s="20" t="s">
        <v>96</v>
      </c>
    </row>
    <row r="7" spans="2:13" ht="32.1" customHeight="1" x14ac:dyDescent="0.25">
      <c r="B7" s="21" t="s">
        <v>97</v>
      </c>
      <c r="C7" s="21" t="str">
        <f>IF(1&gt;nA,"",INDEX(Configuracion!$E$13:$E$20,1))</f>
        <v>Nativas</v>
      </c>
      <c r="D7" s="21" t="str">
        <f>IF(2&gt;nA,"",INDEX(Configuracion!$E$13:$E$20,2))</f>
        <v>Multiplataforma</v>
      </c>
      <c r="E7" s="21" t="str">
        <f>IF(3&gt;nA,"",INDEX(Configuracion!$E$13:$E$20,3))</f>
        <v>Aplicación web</v>
      </c>
      <c r="F7" s="21" t="str">
        <f>IF(4&gt;nA,"",INDEX(Configuracion!$E$13:$E$20,4))</f>
        <v/>
      </c>
      <c r="G7" s="21" t="str">
        <f>IF(5&gt;nA,"",INDEX(Configuracion!$E$13:$E$20,5))</f>
        <v/>
      </c>
      <c r="H7" s="21" t="str">
        <f>IF(6&gt;nA,"",INDEX(Configuracion!$E$13:$E$20,6))</f>
        <v/>
      </c>
      <c r="I7" s="21" t="str">
        <f>IF(7&gt;nA,"",INDEX(Configuracion!$E$13:$E$20,7))</f>
        <v/>
      </c>
      <c r="J7" s="21" t="str">
        <f>IF(8&gt;nA,"",INDEX(Configuracion!$E$13:$E$20,8))</f>
        <v/>
      </c>
      <c r="L7" s="22" t="s">
        <v>3</v>
      </c>
      <c r="M7" s="6" t="s">
        <v>98</v>
      </c>
    </row>
    <row r="8" spans="2:13" ht="18" customHeight="1" x14ac:dyDescent="0.25">
      <c r="B8" s="23" t="str">
        <f>IF(1&gt;nA,"",INDEX(Configuracion!$E$13:$E$20,1))</f>
        <v>Nativas</v>
      </c>
      <c r="C8" s="24">
        <f>IF(1&gt;nA,"",1)</f>
        <v>1</v>
      </c>
      <c r="D8" s="25">
        <v>1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L8" s="22" t="s">
        <v>9</v>
      </c>
      <c r="M8" s="6" t="s">
        <v>99</v>
      </c>
    </row>
    <row r="9" spans="2:13" ht="18" customHeight="1" x14ac:dyDescent="0.25">
      <c r="B9" s="23" t="str">
        <f>IF(2&gt;nA,"",INDEX(Configuracion!$E$13:$E$20,2))</f>
        <v>Multiplataforma</v>
      </c>
      <c r="C9" s="26">
        <f>IF(2&gt;nA,"",IF(D8="","",1/D8))</f>
        <v>1</v>
      </c>
      <c r="D9" s="24">
        <f>IF(2&gt;nA,"",1)</f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L9" s="22" t="s">
        <v>15</v>
      </c>
      <c r="M9" s="6" t="s">
        <v>100</v>
      </c>
    </row>
    <row r="10" spans="2:13" ht="18" customHeight="1" x14ac:dyDescent="0.25">
      <c r="B10" s="23" t="str">
        <f>IF(3&gt;nA,"",INDEX(Configuracion!$E$13:$E$20,3))</f>
        <v>Aplicación web</v>
      </c>
      <c r="C10" s="26">
        <f>IF(3&gt;nA,"",IF(E8="","",1/E8))</f>
        <v>1</v>
      </c>
      <c r="D10" s="26">
        <f>IF(3&gt;nA,"",IF(E9="","",1/E9))</f>
        <v>1</v>
      </c>
      <c r="E10" s="24">
        <f>IF(3&gt;nA,"",1)</f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L10" s="22" t="s">
        <v>33</v>
      </c>
      <c r="M10" s="6" t="s">
        <v>101</v>
      </c>
    </row>
    <row r="11" spans="2:13" ht="18" customHeight="1" x14ac:dyDescent="0.25">
      <c r="B11" s="23" t="str">
        <f>IF(4&gt;nA,"",INDEX(Configuracion!$E$13:$E$20,4))</f>
        <v/>
      </c>
      <c r="C11" s="26" t="str">
        <f>IF(4&gt;nA,"",IF(F8="","",1/F8))</f>
        <v/>
      </c>
      <c r="D11" s="26" t="str">
        <f>IF(4&gt;nA,"",IF(F9="","",1/F9))</f>
        <v/>
      </c>
      <c r="E11" s="26" t="str">
        <f>IF(4&gt;nA,"",IF(F10="","",1/F10))</f>
        <v/>
      </c>
      <c r="F11" s="24" t="str">
        <f>IF(4&gt;nA,"",1)</f>
        <v/>
      </c>
      <c r="G11" s="25">
        <v>1</v>
      </c>
      <c r="H11" s="25">
        <v>1</v>
      </c>
      <c r="I11" s="25">
        <v>1</v>
      </c>
      <c r="J11" s="25">
        <v>1</v>
      </c>
      <c r="L11" s="22" t="s">
        <v>37</v>
      </c>
      <c r="M11" s="6" t="s">
        <v>102</v>
      </c>
    </row>
    <row r="12" spans="2:13" ht="18" customHeight="1" x14ac:dyDescent="0.25">
      <c r="B12" s="23" t="str">
        <f>IF(5&gt;nA,"",INDEX(Configuracion!$E$13:$E$20,5))</f>
        <v/>
      </c>
      <c r="C12" s="26" t="str">
        <f>IF(5&gt;nA,"",IF(G8="","",1/G8))</f>
        <v/>
      </c>
      <c r="D12" s="26" t="str">
        <f>IF(5&gt;nA,"",IF(G9="","",1/G9))</f>
        <v/>
      </c>
      <c r="E12" s="26" t="str">
        <f>IF(5&gt;nA,"",IF(G10="","",1/G10))</f>
        <v/>
      </c>
      <c r="F12" s="26" t="str">
        <f>IF(5&gt;nA,"",IF(G11="","",1/G11))</f>
        <v/>
      </c>
      <c r="G12" s="24" t="str">
        <f>IF(5&gt;nA,"",1)</f>
        <v/>
      </c>
      <c r="H12" s="25">
        <v>1</v>
      </c>
      <c r="I12" s="25">
        <v>1</v>
      </c>
      <c r="J12" s="25">
        <v>1</v>
      </c>
      <c r="L12" s="22" t="s">
        <v>103</v>
      </c>
      <c r="M12" s="6" t="s">
        <v>104</v>
      </c>
    </row>
    <row r="13" spans="2:13" ht="18" customHeight="1" x14ac:dyDescent="0.25">
      <c r="B13" s="23" t="str">
        <f>IF(6&gt;nA,"",INDEX(Configuracion!$E$13:$E$20,6))</f>
        <v/>
      </c>
      <c r="C13" s="26" t="str">
        <f>IF(6&gt;nA,"",IF(H8="","",1/H8))</f>
        <v/>
      </c>
      <c r="D13" s="26" t="str">
        <f>IF(6&gt;nA,"",IF(H9="","",1/H9))</f>
        <v/>
      </c>
      <c r="E13" s="26" t="str">
        <f>IF(6&gt;nA,"",IF(H10="","",1/H10))</f>
        <v/>
      </c>
      <c r="F13" s="26" t="str">
        <f>IF(6&gt;nA,"",IF(H11="","",1/H11))</f>
        <v/>
      </c>
      <c r="G13" s="26" t="str">
        <f>IF(6&gt;nA,"",IF(H12="","",1/H12))</f>
        <v/>
      </c>
      <c r="H13" s="24" t="str">
        <f>IF(6&gt;nA,"",1)</f>
        <v/>
      </c>
      <c r="I13" s="25">
        <v>1</v>
      </c>
      <c r="J13" s="25">
        <v>1</v>
      </c>
      <c r="L13" s="22" t="s">
        <v>105</v>
      </c>
      <c r="M13" s="6" t="s">
        <v>106</v>
      </c>
    </row>
    <row r="14" spans="2:13" ht="18" customHeight="1" x14ac:dyDescent="0.25">
      <c r="B14" s="23" t="str">
        <f>IF(7&gt;nA,"",INDEX(Configuracion!$E$13:$E$20,7))</f>
        <v/>
      </c>
      <c r="C14" s="26" t="str">
        <f>IF(7&gt;nA,"",IF(I8="","",1/I8))</f>
        <v/>
      </c>
      <c r="D14" s="26" t="str">
        <f>IF(7&gt;nA,"",IF(I9="","",1/I9))</f>
        <v/>
      </c>
      <c r="E14" s="26" t="str">
        <f>IF(7&gt;nA,"",IF(I10="","",1/I10))</f>
        <v/>
      </c>
      <c r="F14" s="26" t="str">
        <f>IF(7&gt;nA,"",IF(I11="","",1/I11))</f>
        <v/>
      </c>
      <c r="G14" s="26" t="str">
        <f>IF(7&gt;nA,"",IF(I12="","",1/I12))</f>
        <v/>
      </c>
      <c r="H14" s="26" t="str">
        <f>IF(7&gt;nA,"",IF(I13="","",1/I13))</f>
        <v/>
      </c>
      <c r="I14" s="24" t="str">
        <f>IF(7&gt;nA,"",1)</f>
        <v/>
      </c>
      <c r="J14" s="25">
        <v>1</v>
      </c>
      <c r="L14" s="22" t="s">
        <v>107</v>
      </c>
      <c r="M14" s="6" t="s">
        <v>108</v>
      </c>
    </row>
    <row r="15" spans="2:13" ht="18" customHeight="1" x14ac:dyDescent="0.25">
      <c r="B15" s="23" t="str">
        <f>IF(8&gt;nA,"",INDEX(Configuracion!$E$13:$E$20,8))</f>
        <v/>
      </c>
      <c r="C15" s="26" t="str">
        <f>IF(8&gt;nA,"",IF(J8="","",1/J8))</f>
        <v/>
      </c>
      <c r="D15" s="26" t="str">
        <f>IF(8&gt;nA,"",IF(J9="","",1/J9))</f>
        <v/>
      </c>
      <c r="E15" s="26" t="str">
        <f>IF(8&gt;nA,"",IF(J10="","",1/J10))</f>
        <v/>
      </c>
      <c r="F15" s="26" t="str">
        <f>IF(8&gt;nA,"",IF(J11="","",1/J11))</f>
        <v/>
      </c>
      <c r="G15" s="26" t="str">
        <f>IF(8&gt;nA,"",IF(J12="","",1/J12))</f>
        <v/>
      </c>
      <c r="H15" s="26" t="str">
        <f>IF(8&gt;nA,"",IF(J13="","",1/J13))</f>
        <v/>
      </c>
      <c r="I15" s="26" t="str">
        <f>IF(8&gt;nA,"",IF(J14="","",1/J14))</f>
        <v/>
      </c>
      <c r="J15" s="24" t="str">
        <f>IF(8&gt;nA,"",1)</f>
        <v/>
      </c>
    </row>
    <row r="16" spans="2:13" x14ac:dyDescent="0.25">
      <c r="L16" s="99" t="s">
        <v>109</v>
      </c>
      <c r="M16" s="65"/>
    </row>
    <row r="17" spans="2:13" ht="20.100000000000001" customHeight="1" x14ac:dyDescent="0.25">
      <c r="B17" s="87" t="s">
        <v>110</v>
      </c>
      <c r="C17" s="88"/>
      <c r="D17" s="88"/>
      <c r="E17" s="88"/>
      <c r="F17" s="88"/>
      <c r="G17" s="88"/>
      <c r="H17" s="88"/>
      <c r="I17" s="88"/>
      <c r="J17" s="88"/>
      <c r="L17" s="65"/>
      <c r="M17" s="65"/>
    </row>
    <row r="18" spans="2:13" x14ac:dyDescent="0.25">
      <c r="B18" s="23" t="s">
        <v>111</v>
      </c>
      <c r="C18" s="27">
        <f>IF(1&gt;nA,"",SUM(INDEX(C$8:C$15,1):INDEX(C$8:C$15,nA)))</f>
        <v>3</v>
      </c>
      <c r="D18" s="27">
        <f>IF(2&gt;nA,"",SUM(INDEX(D$8:D$15,1):INDEX(D$8:D$15,nA)))</f>
        <v>3</v>
      </c>
      <c r="E18" s="27">
        <f>IF(3&gt;nA,"",SUM(INDEX(E$8:E$15,1):INDEX(E$8:E$15,nA)))</f>
        <v>3</v>
      </c>
      <c r="F18" s="27" t="str">
        <f>IF(4&gt;nA,"",SUM(INDEX(F$8:F$15,1):INDEX(F$8:F$15,nA)))</f>
        <v/>
      </c>
      <c r="G18" s="27" t="str">
        <f>IF(5&gt;nA,"",SUM(INDEX(G$8:G$15,1):INDEX(G$8:G$15,nA)))</f>
        <v/>
      </c>
      <c r="H18" s="27" t="str">
        <f>IF(6&gt;nA,"",SUM(INDEX(H$8:H$15,1):INDEX(H$8:H$15,nA)))</f>
        <v/>
      </c>
      <c r="I18" s="27" t="str">
        <f>IF(7&gt;nA,"",SUM(INDEX(I$8:I$15,1):INDEX(I$8:I$15,nA)))</f>
        <v/>
      </c>
      <c r="J18" s="27" t="str">
        <f>IF(8&gt;nA,"",SUM(INDEX(J$8:J$15,1):INDEX(J$8:J$15,nA)))</f>
        <v/>
      </c>
      <c r="L18" s="65"/>
      <c r="M18" s="65"/>
    </row>
    <row r="20" spans="2:13" ht="20.100000000000001" customHeight="1" x14ac:dyDescent="0.25">
      <c r="B20" s="87" t="s">
        <v>112</v>
      </c>
      <c r="C20" s="88"/>
      <c r="D20" s="88"/>
      <c r="E20" s="88"/>
      <c r="F20" s="88"/>
      <c r="G20" s="88"/>
      <c r="H20" s="88"/>
      <c r="I20" s="88"/>
      <c r="J20" s="88"/>
    </row>
    <row r="21" spans="2:13" ht="32.1" customHeight="1" x14ac:dyDescent="0.25">
      <c r="B21" s="21" t="s">
        <v>97</v>
      </c>
      <c r="C21" s="21" t="str">
        <f>IF(1&gt;nA,"",INDEX(Configuracion!$E$13:$E$20,1))</f>
        <v>Nativas</v>
      </c>
      <c r="D21" s="21" t="str">
        <f>IF(2&gt;nA,"",INDEX(Configuracion!$E$13:$E$20,2))</f>
        <v>Multiplataforma</v>
      </c>
      <c r="E21" s="21" t="str">
        <f>IF(3&gt;nA,"",INDEX(Configuracion!$E$13:$E$20,3))</f>
        <v>Aplicación web</v>
      </c>
      <c r="F21" s="21" t="str">
        <f>IF(4&gt;nA,"",INDEX(Configuracion!$E$13:$E$20,4))</f>
        <v/>
      </c>
      <c r="G21" s="21" t="str">
        <f>IF(5&gt;nA,"",INDEX(Configuracion!$E$13:$E$20,5))</f>
        <v/>
      </c>
      <c r="H21" s="21" t="str">
        <f>IF(6&gt;nA,"",INDEX(Configuracion!$E$13:$E$20,6))</f>
        <v/>
      </c>
      <c r="I21" s="21" t="str">
        <f>IF(7&gt;nA,"",INDEX(Configuracion!$E$13:$E$20,7))</f>
        <v/>
      </c>
      <c r="J21" s="21" t="str">
        <f>IF(8&gt;nA,"",INDEX(Configuracion!$E$13:$E$20,8))</f>
        <v/>
      </c>
    </row>
    <row r="22" spans="2:13" ht="18" customHeight="1" x14ac:dyDescent="0.25">
      <c r="B22" s="23" t="str">
        <f>IF(1&gt;nA,"",INDEX(Configuracion!$E$13:$E$20,1))</f>
        <v>Nativas</v>
      </c>
      <c r="C22" s="28">
        <f>IF(OR(1&gt;nA,1&gt;nA),"",C8/C$18)</f>
        <v>0.33333333333333331</v>
      </c>
      <c r="D22" s="28">
        <f>IF(OR(1&gt;nA,2&gt;nA),"",D8/D$18)</f>
        <v>0.33333333333333331</v>
      </c>
      <c r="E22" s="28">
        <f>IF(OR(1&gt;nA,3&gt;nA),"",E8/E$18)</f>
        <v>0.33333333333333331</v>
      </c>
      <c r="F22" s="28" t="str">
        <f>IF(OR(1&gt;nA,4&gt;nA),"",F8/F$18)</f>
        <v/>
      </c>
      <c r="G22" s="28" t="str">
        <f>IF(OR(1&gt;nA,5&gt;nA),"",G8/G$18)</f>
        <v/>
      </c>
      <c r="H22" s="28" t="str">
        <f>IF(OR(1&gt;nA,6&gt;nA),"",H8/H$18)</f>
        <v/>
      </c>
      <c r="I22" s="28" t="str">
        <f>IF(OR(1&gt;nA,7&gt;nA),"",I8/I$18)</f>
        <v/>
      </c>
      <c r="J22" s="28" t="str">
        <f>IF(OR(1&gt;nA,8&gt;nA),"",J8/J$18)</f>
        <v/>
      </c>
    </row>
    <row r="23" spans="2:13" ht="18" customHeight="1" x14ac:dyDescent="0.25">
      <c r="B23" s="23" t="str">
        <f>IF(2&gt;nA,"",INDEX(Configuracion!$E$13:$E$20,2))</f>
        <v>Multiplataforma</v>
      </c>
      <c r="C23" s="28">
        <f>IF(OR(2&gt;nA,1&gt;nA),"",C9/C$18)</f>
        <v>0.33333333333333331</v>
      </c>
      <c r="D23" s="28">
        <f>IF(OR(2&gt;nA,2&gt;nA),"",D9/D$18)</f>
        <v>0.33333333333333331</v>
      </c>
      <c r="E23" s="28">
        <f>IF(OR(2&gt;nA,3&gt;nA),"",E9/E$18)</f>
        <v>0.33333333333333331</v>
      </c>
      <c r="F23" s="28" t="str">
        <f>IF(OR(2&gt;nA,4&gt;nA),"",F9/F$18)</f>
        <v/>
      </c>
      <c r="G23" s="28" t="str">
        <f>IF(OR(2&gt;nA,5&gt;nA),"",G9/G$18)</f>
        <v/>
      </c>
      <c r="H23" s="28" t="str">
        <f>IF(OR(2&gt;nA,6&gt;nA),"",H9/H$18)</f>
        <v/>
      </c>
      <c r="I23" s="28" t="str">
        <f>IF(OR(2&gt;nA,7&gt;nA),"",I9/I$18)</f>
        <v/>
      </c>
      <c r="J23" s="28" t="str">
        <f>IF(OR(2&gt;nA,8&gt;nA),"",J9/J$18)</f>
        <v/>
      </c>
    </row>
    <row r="24" spans="2:13" ht="18" customHeight="1" x14ac:dyDescent="0.25">
      <c r="B24" s="23" t="str">
        <f>IF(3&gt;nA,"",INDEX(Configuracion!$E$13:$E$20,3))</f>
        <v>Aplicación web</v>
      </c>
      <c r="C24" s="28">
        <f>IF(OR(3&gt;nA,1&gt;nA),"",C10/C$18)</f>
        <v>0.33333333333333331</v>
      </c>
      <c r="D24" s="28">
        <f>IF(OR(3&gt;nA,2&gt;nA),"",D10/D$18)</f>
        <v>0.33333333333333331</v>
      </c>
      <c r="E24" s="28">
        <f>IF(OR(3&gt;nA,3&gt;nA),"",E10/E$18)</f>
        <v>0.33333333333333331</v>
      </c>
      <c r="F24" s="28" t="str">
        <f>IF(OR(3&gt;nA,4&gt;nA),"",F10/F$18)</f>
        <v/>
      </c>
      <c r="G24" s="28" t="str">
        <f>IF(OR(3&gt;nA,5&gt;nA),"",G10/G$18)</f>
        <v/>
      </c>
      <c r="H24" s="28" t="str">
        <f>IF(OR(3&gt;nA,6&gt;nA),"",H10/H$18)</f>
        <v/>
      </c>
      <c r="I24" s="28" t="str">
        <f>IF(OR(3&gt;nA,7&gt;nA),"",I10/I$18)</f>
        <v/>
      </c>
      <c r="J24" s="28" t="str">
        <f>IF(OR(3&gt;nA,8&gt;nA),"",J10/J$18)</f>
        <v/>
      </c>
    </row>
    <row r="25" spans="2:13" ht="18" customHeight="1" x14ac:dyDescent="0.25">
      <c r="B25" s="23" t="str">
        <f>IF(4&gt;nA,"",INDEX(Configuracion!$E$13:$E$20,4))</f>
        <v/>
      </c>
      <c r="C25" s="28" t="str">
        <f>IF(OR(4&gt;nA,1&gt;nA),"",C11/C$18)</f>
        <v/>
      </c>
      <c r="D25" s="28" t="str">
        <f>IF(OR(4&gt;nA,2&gt;nA),"",D11/D$18)</f>
        <v/>
      </c>
      <c r="E25" s="28" t="str">
        <f>IF(OR(4&gt;nA,3&gt;nA),"",E11/E$18)</f>
        <v/>
      </c>
      <c r="F25" s="28" t="str">
        <f>IF(OR(4&gt;nA,4&gt;nA),"",F11/F$18)</f>
        <v/>
      </c>
      <c r="G25" s="28" t="str">
        <f>IF(OR(4&gt;nA,5&gt;nA),"",G11/G$18)</f>
        <v/>
      </c>
      <c r="H25" s="28" t="str">
        <f>IF(OR(4&gt;nA,6&gt;nA),"",H11/H$18)</f>
        <v/>
      </c>
      <c r="I25" s="28" t="str">
        <f>IF(OR(4&gt;nA,7&gt;nA),"",I11/I$18)</f>
        <v/>
      </c>
      <c r="J25" s="28" t="str">
        <f>IF(OR(4&gt;nA,8&gt;nA),"",J11/J$18)</f>
        <v/>
      </c>
    </row>
    <row r="26" spans="2:13" ht="18" customHeight="1" x14ac:dyDescent="0.25">
      <c r="B26" s="23" t="str">
        <f>IF(5&gt;nA,"",INDEX(Configuracion!$E$13:$E$20,5))</f>
        <v/>
      </c>
      <c r="C26" s="28" t="str">
        <f>IF(OR(5&gt;nA,1&gt;nA),"",C12/C$18)</f>
        <v/>
      </c>
      <c r="D26" s="28" t="str">
        <f>IF(OR(5&gt;nA,2&gt;nA),"",D12/D$18)</f>
        <v/>
      </c>
      <c r="E26" s="28" t="str">
        <f>IF(OR(5&gt;nA,3&gt;nA),"",E12/E$18)</f>
        <v/>
      </c>
      <c r="F26" s="28" t="str">
        <f>IF(OR(5&gt;nA,4&gt;nA),"",F12/F$18)</f>
        <v/>
      </c>
      <c r="G26" s="28" t="str">
        <f>IF(OR(5&gt;nA,5&gt;nA),"",G12/G$18)</f>
        <v/>
      </c>
      <c r="H26" s="28" t="str">
        <f>IF(OR(5&gt;nA,6&gt;nA),"",H12/H$18)</f>
        <v/>
      </c>
      <c r="I26" s="28" t="str">
        <f>IF(OR(5&gt;nA,7&gt;nA),"",I12/I$18)</f>
        <v/>
      </c>
      <c r="J26" s="28" t="str">
        <f>IF(OR(5&gt;nA,8&gt;nA),"",J12/J$18)</f>
        <v/>
      </c>
    </row>
    <row r="27" spans="2:13" ht="18" customHeight="1" x14ac:dyDescent="0.25">
      <c r="B27" s="23" t="str">
        <f>IF(6&gt;nA,"",INDEX(Configuracion!$E$13:$E$20,6))</f>
        <v/>
      </c>
      <c r="C27" s="28" t="str">
        <f>IF(OR(6&gt;nA,1&gt;nA),"",C13/C$18)</f>
        <v/>
      </c>
      <c r="D27" s="28" t="str">
        <f>IF(OR(6&gt;nA,2&gt;nA),"",D13/D$18)</f>
        <v/>
      </c>
      <c r="E27" s="28" t="str">
        <f>IF(OR(6&gt;nA,3&gt;nA),"",E13/E$18)</f>
        <v/>
      </c>
      <c r="F27" s="28" t="str">
        <f>IF(OR(6&gt;nA,4&gt;nA),"",F13/F$18)</f>
        <v/>
      </c>
      <c r="G27" s="28" t="str">
        <f>IF(OR(6&gt;nA,5&gt;nA),"",G13/G$18)</f>
        <v/>
      </c>
      <c r="H27" s="28" t="str">
        <f>IF(OR(6&gt;nA,6&gt;nA),"",H13/H$18)</f>
        <v/>
      </c>
      <c r="I27" s="28" t="str">
        <f>IF(OR(6&gt;nA,7&gt;nA),"",I13/I$18)</f>
        <v/>
      </c>
      <c r="J27" s="28" t="str">
        <f>IF(OR(6&gt;nA,8&gt;nA),"",J13/J$18)</f>
        <v/>
      </c>
    </row>
    <row r="28" spans="2:13" ht="18" customHeight="1" x14ac:dyDescent="0.25">
      <c r="B28" s="23" t="str">
        <f>IF(7&gt;nA,"",INDEX(Configuracion!$E$13:$E$20,7))</f>
        <v/>
      </c>
      <c r="C28" s="28" t="str">
        <f>IF(OR(7&gt;nA,1&gt;nA),"",C14/C$18)</f>
        <v/>
      </c>
      <c r="D28" s="28" t="str">
        <f>IF(OR(7&gt;nA,2&gt;nA),"",D14/D$18)</f>
        <v/>
      </c>
      <c r="E28" s="28" t="str">
        <f>IF(OR(7&gt;nA,3&gt;nA),"",E14/E$18)</f>
        <v/>
      </c>
      <c r="F28" s="28" t="str">
        <f>IF(OR(7&gt;nA,4&gt;nA),"",F14/F$18)</f>
        <v/>
      </c>
      <c r="G28" s="28" t="str">
        <f>IF(OR(7&gt;nA,5&gt;nA),"",G14/G$18)</f>
        <v/>
      </c>
      <c r="H28" s="28" t="str">
        <f>IF(OR(7&gt;nA,6&gt;nA),"",H14/H$18)</f>
        <v/>
      </c>
      <c r="I28" s="28" t="str">
        <f>IF(OR(7&gt;nA,7&gt;nA),"",I14/I$18)</f>
        <v/>
      </c>
      <c r="J28" s="28" t="str">
        <f>IF(OR(7&gt;nA,8&gt;nA),"",J14/J$18)</f>
        <v/>
      </c>
    </row>
    <row r="29" spans="2:13" ht="18" customHeight="1" x14ac:dyDescent="0.25">
      <c r="B29" s="23" t="str">
        <f>IF(8&gt;nA,"",INDEX(Configuracion!$E$13:$E$20,8))</f>
        <v/>
      </c>
      <c r="C29" s="28" t="str">
        <f>IF(OR(8&gt;nA,1&gt;nA),"",C15/C$18)</f>
        <v/>
      </c>
      <c r="D29" s="28" t="str">
        <f>IF(OR(8&gt;nA,2&gt;nA),"",D15/D$18)</f>
        <v/>
      </c>
      <c r="E29" s="28" t="str">
        <f>IF(OR(8&gt;nA,3&gt;nA),"",E15/E$18)</f>
        <v/>
      </c>
      <c r="F29" s="28" t="str">
        <f>IF(OR(8&gt;nA,4&gt;nA),"",F15/F$18)</f>
        <v/>
      </c>
      <c r="G29" s="28" t="str">
        <f>IF(OR(8&gt;nA,5&gt;nA),"",G15/G$18)</f>
        <v/>
      </c>
      <c r="H29" s="28" t="str">
        <f>IF(OR(8&gt;nA,6&gt;nA),"",H15/H$18)</f>
        <v/>
      </c>
      <c r="I29" s="28" t="str">
        <f>IF(OR(8&gt;nA,7&gt;nA),"",I15/I$18)</f>
        <v/>
      </c>
      <c r="J29" s="28" t="str">
        <f>IF(OR(8&gt;nA,8&gt;nA),"",J15/J$18)</f>
        <v/>
      </c>
    </row>
    <row r="31" spans="2:13" ht="20.100000000000001" customHeight="1" x14ac:dyDescent="0.25">
      <c r="B31" s="87" t="s">
        <v>113</v>
      </c>
      <c r="C31" s="88"/>
      <c r="D31" s="88"/>
      <c r="E31" s="88"/>
      <c r="F31" s="88"/>
      <c r="G31" s="88"/>
      <c r="H31" s="88"/>
      <c r="I31" s="88"/>
      <c r="J31" s="88"/>
    </row>
    <row r="32" spans="2:13" x14ac:dyDescent="0.25">
      <c r="B32" s="3" t="s">
        <v>114</v>
      </c>
      <c r="C32" s="3" t="s">
        <v>115</v>
      </c>
      <c r="D32" s="3" t="s">
        <v>116</v>
      </c>
      <c r="E32" s="100" t="s">
        <v>117</v>
      </c>
      <c r="F32" s="101"/>
      <c r="G32" s="101"/>
      <c r="H32" s="101"/>
      <c r="I32" s="101"/>
      <c r="J32" s="101"/>
    </row>
    <row r="33" spans="2:10" ht="18" customHeight="1" x14ac:dyDescent="0.25">
      <c r="B33" s="23" t="str">
        <f>IF(1&gt;nA,"",INDEX(Configuracion!$E$13:$E$20,1))</f>
        <v>Nativas</v>
      </c>
      <c r="C33" s="29">
        <f>IF(1&gt;nA,"",AVERAGE(INDEX($C22:$J22,1):INDEX($C22:$J22,nA)))</f>
        <v>0.33333333333333331</v>
      </c>
      <c r="D33" s="30">
        <f>IF(1&gt;nA,"",C33)</f>
        <v>0.33333333333333331</v>
      </c>
      <c r="E33" s="98" t="str">
        <f>IF(1&gt;nA,"","De cada 100 puntos de importancia, este se lleva "&amp;TEXT(C33*100,"0,0")&amp;".")</f>
        <v>De cada 100 puntos de importancia, este se lleva 33.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IF(2&gt;nA,"",INDEX(Configuracion!$E$13:$E$20,2))</f>
        <v>Multiplataforma</v>
      </c>
      <c r="C34" s="29">
        <f>IF(2&gt;nA,"",AVERAGE(INDEX($C23:$J23,1):INDEX($C23:$J23,nA)))</f>
        <v>0.33333333333333331</v>
      </c>
      <c r="D34" s="30">
        <f>IF(2&gt;nA,"",C34)</f>
        <v>0.33333333333333331</v>
      </c>
      <c r="E34" s="98" t="str">
        <f>IF(2&gt;nA,"","De cada 100 puntos de importancia, este se lleva "&amp;TEXT(C34*100,"0,0")&amp;".")</f>
        <v>De cada 100 puntos de importancia, este se lleva 33.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IF(3&gt;nA,"",INDEX(Configuracion!$E$13:$E$20,3))</f>
        <v>Aplicación web</v>
      </c>
      <c r="C35" s="29">
        <f>IF(3&gt;nA,"",AVERAGE(INDEX($C24:$J24,1):INDEX($C24:$J24,nA)))</f>
        <v>0.33333333333333331</v>
      </c>
      <c r="D35" s="30">
        <f>IF(3&gt;nA,"",C35)</f>
        <v>0.33333333333333331</v>
      </c>
      <c r="E35" s="98" t="str">
        <f>IF(3&gt;nA,"","De cada 100 puntos de importancia, este se lleva "&amp;TEXT(C35*100,"0,0")&amp;".")</f>
        <v>De cada 100 puntos de importancia, este se lleva 33.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IF(4&gt;nA,"",INDEX(Configuracion!$E$13:$E$20,4))</f>
        <v/>
      </c>
      <c r="C36" s="29" t="str">
        <f>IF(4&gt;nA,"",AVERAGE(INDEX($C25:$J25,1):INDEX($C25:$J25,nA)))</f>
        <v/>
      </c>
      <c r="D36" s="30" t="str">
        <f>IF(4&gt;nA,"",C36)</f>
        <v/>
      </c>
      <c r="E36" s="98" t="str">
        <f>IF(4&gt;nA,"","De cada 100 puntos de importancia, este se lleva "&amp;TEXT(C36*100,"0,0")&amp;".")</f>
        <v/>
      </c>
      <c r="F36" s="63"/>
      <c r="G36" s="63"/>
      <c r="H36" s="63"/>
      <c r="I36" s="63"/>
      <c r="J36" s="63"/>
    </row>
    <row r="37" spans="2:10" ht="18" customHeight="1" x14ac:dyDescent="0.25">
      <c r="B37" s="23" t="str">
        <f>IF(5&gt;nA,"",INDEX(Configuracion!$E$13:$E$20,5))</f>
        <v/>
      </c>
      <c r="C37" s="29" t="str">
        <f>IF(5&gt;nA,"",AVERAGE(INDEX($C26:$J26,1):INDEX($C26:$J26,nA)))</f>
        <v/>
      </c>
      <c r="D37" s="30" t="str">
        <f>IF(5&gt;nA,"",C37)</f>
        <v/>
      </c>
      <c r="E37" s="98" t="str">
        <f>IF(5&gt;nA,"","De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IF(6&gt;nA,"",INDEX(Configuracion!$E$13:$E$20,6))</f>
        <v/>
      </c>
      <c r="C38" s="29" t="str">
        <f>IF(6&gt;nA,"",AVERAGE(INDEX($C27:$J27,1):INDEX($C27:$J27,nA)))</f>
        <v/>
      </c>
      <c r="D38" s="30" t="str">
        <f>IF(6&gt;nA,"",C38)</f>
        <v/>
      </c>
      <c r="E38" s="98" t="str">
        <f>IF(6&gt;nA,"","De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IF(7&gt;nA,"",INDEX(Configuracion!$E$13:$E$20,7))</f>
        <v/>
      </c>
      <c r="C39" s="29" t="str">
        <f>IF(7&gt;nA,"",AVERAGE(INDEX($C28:$J28,1):INDEX($C28:$J28,nA)))</f>
        <v/>
      </c>
      <c r="D39" s="30" t="str">
        <f>IF(7&gt;nA,"",C39)</f>
        <v/>
      </c>
      <c r="E39" s="98" t="str">
        <f>IF(7&gt;nA,"","De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ht="18" customHeight="1" x14ac:dyDescent="0.25">
      <c r="B40" s="23" t="str">
        <f>IF(8&gt;nA,"",INDEX(Configuracion!$E$13:$E$20,8))</f>
        <v/>
      </c>
      <c r="C40" s="29" t="str">
        <f>IF(8&gt;nA,"",AVERAGE(INDEX($C29:$J29,1):INDEX($C29:$J29,nA)))</f>
        <v/>
      </c>
      <c r="D40" s="30" t="str">
        <f>IF(8&gt;nA,"",C40)</f>
        <v/>
      </c>
      <c r="E40" s="98" t="str">
        <f>IF(8&gt;nA,"","De cada 100 puntos de importancia, este se lleva "&amp;TEXT(C40*100,"0,0")&amp;".")</f>
        <v/>
      </c>
      <c r="F40" s="63"/>
      <c r="G40" s="63"/>
      <c r="H40" s="63"/>
      <c r="I40" s="63"/>
      <c r="J40" s="63"/>
    </row>
    <row r="41" spans="2:10" x14ac:dyDescent="0.25">
      <c r="B41" s="31" t="s">
        <v>118</v>
      </c>
      <c r="C41" s="32">
        <f>SUM(INDEX($C$33:$C$40,1):INDEX($C$33:$C$40,nA))</f>
        <v>1</v>
      </c>
    </row>
    <row r="43" spans="2:10" x14ac:dyDescent="0.25">
      <c r="B43" s="33" t="s">
        <v>119</v>
      </c>
      <c r="C43" s="34">
        <f>IF(1&gt;nA,"",$C$33)</f>
        <v>0.33333333333333331</v>
      </c>
      <c r="D43" s="34">
        <f>IF(2&gt;nA,"",$C$34)</f>
        <v>0.33333333333333331</v>
      </c>
      <c r="E43" s="34">
        <f>IF(3&gt;nA,"",$C$35)</f>
        <v>0.33333333333333331</v>
      </c>
      <c r="F43" s="34" t="str">
        <f>IF(4&gt;nA,"",$C$36)</f>
        <v/>
      </c>
      <c r="G43" s="34" t="str">
        <f>IF(5&gt;nA,"",$C$37)</f>
        <v/>
      </c>
      <c r="H43" s="34" t="str">
        <f>IF(6&gt;nA,"",$C$38)</f>
        <v/>
      </c>
      <c r="I43" s="34" t="str">
        <f>IF(7&gt;nA,"",$C$39)</f>
        <v/>
      </c>
      <c r="J43" s="34" t="str">
        <f>IF(8&gt;nA,"",$C$40)</f>
        <v/>
      </c>
    </row>
    <row r="45" spans="2:10" ht="20.100000000000001" customHeight="1" x14ac:dyDescent="0.25">
      <c r="B45" s="87" t="s">
        <v>120</v>
      </c>
      <c r="C45" s="88"/>
      <c r="D45" s="88"/>
      <c r="E45" s="88"/>
      <c r="F45" s="88"/>
      <c r="G45" s="88"/>
      <c r="H45" s="88"/>
      <c r="I45" s="88"/>
      <c r="J45" s="88"/>
    </row>
    <row r="46" spans="2:10" ht="27.95" customHeight="1" x14ac:dyDescent="0.25">
      <c r="B46" s="35" t="s">
        <v>114</v>
      </c>
      <c r="C46" s="35" t="s">
        <v>121</v>
      </c>
      <c r="D46" s="35" t="s">
        <v>115</v>
      </c>
      <c r="E46" s="35" t="s">
        <v>122</v>
      </c>
    </row>
    <row r="47" spans="2:10" ht="18" customHeight="1" x14ac:dyDescent="0.25">
      <c r="B47" s="23" t="str">
        <f>IF(1&gt;nA,"",INDEX(Configuracion!$E$13:$E$20,1))</f>
        <v>Nativas</v>
      </c>
      <c r="C47" s="28">
        <f>IF(1&gt;nA,"",SUMPRODUCT(INDEX($C8:$J8,1):INDEX($C8:$J8,nA),INDEX($C$43:$J$43,1):INDEX($C$43:$J$43,nA)))</f>
        <v>1</v>
      </c>
      <c r="D47" s="28">
        <f>IF(1&gt;nA,"",$C$33)</f>
        <v>0.33333333333333331</v>
      </c>
      <c r="E47" s="36">
        <f>IF(1&gt;nA,"",C47/D47)</f>
        <v>3</v>
      </c>
    </row>
    <row r="48" spans="2:10" ht="18" customHeight="1" x14ac:dyDescent="0.25">
      <c r="B48" s="23" t="str">
        <f>IF(2&gt;nA,"",INDEX(Configuracion!$E$13:$E$20,2))</f>
        <v>Multiplataforma</v>
      </c>
      <c r="C48" s="28">
        <f>IF(2&gt;nA,"",SUMPRODUCT(INDEX($C9:$J9,1):INDEX($C9:$J9,nA),INDEX($C$43:$J$43,1):INDEX($C$43:$J$43,nA)))</f>
        <v>1</v>
      </c>
      <c r="D48" s="28">
        <f>IF(2&gt;nA,"",$C$34)</f>
        <v>0.33333333333333331</v>
      </c>
      <c r="E48" s="36">
        <f>IF(2&gt;nA,"",C48/D48)</f>
        <v>3</v>
      </c>
    </row>
    <row r="49" spans="2:10" ht="18" customHeight="1" x14ac:dyDescent="0.25">
      <c r="B49" s="23" t="str">
        <f>IF(3&gt;nA,"",INDEX(Configuracion!$E$13:$E$20,3))</f>
        <v>Aplicación web</v>
      </c>
      <c r="C49" s="28">
        <f>IF(3&gt;nA,"",SUMPRODUCT(INDEX($C10:$J10,1):INDEX($C10:$J10,nA),INDEX($C$43:$J$43,1):INDEX($C$43:$J$43,nA)))</f>
        <v>1</v>
      </c>
      <c r="D49" s="28">
        <f>IF(3&gt;nA,"",$C$35)</f>
        <v>0.33333333333333331</v>
      </c>
      <c r="E49" s="36">
        <f>IF(3&gt;nA,"",C49/D49)</f>
        <v>3</v>
      </c>
    </row>
    <row r="50" spans="2:10" ht="18" customHeight="1" x14ac:dyDescent="0.25">
      <c r="B50" s="23" t="str">
        <f>IF(4&gt;nA,"",INDEX(Configuracion!$E$13:$E$20,4))</f>
        <v/>
      </c>
      <c r="C50" s="28" t="str">
        <f>IF(4&gt;nA,"",SUMPRODUCT(INDEX($C11:$J11,1):INDEX($C11:$J11,nA),INDEX($C$43:$J$43,1):INDEX($C$43:$J$43,nA)))</f>
        <v/>
      </c>
      <c r="D50" s="28" t="str">
        <f>IF(4&gt;nA,"",$C$36)</f>
        <v/>
      </c>
      <c r="E50" s="36" t="str">
        <f>IF(4&gt;nA,"",C50/D50)</f>
        <v/>
      </c>
    </row>
    <row r="51" spans="2:10" ht="18" customHeight="1" x14ac:dyDescent="0.25">
      <c r="B51" s="23" t="str">
        <f>IF(5&gt;nA,"",INDEX(Configuracion!$E$13:$E$20,5))</f>
        <v/>
      </c>
      <c r="C51" s="28" t="str">
        <f>IF(5&gt;nA,"",SUMPRODUCT(INDEX($C12:$J12,1):INDEX($C12:$J12,nA),INDEX($C$43:$J$43,1):INDEX($C$43:$J$43,nA)))</f>
        <v/>
      </c>
      <c r="D51" s="28" t="str">
        <f>IF(5&gt;nA,"",$C$37)</f>
        <v/>
      </c>
      <c r="E51" s="36" t="str">
        <f>IF(5&gt;nA,"",C51/D51)</f>
        <v/>
      </c>
    </row>
    <row r="52" spans="2:10" ht="18" customHeight="1" x14ac:dyDescent="0.25">
      <c r="B52" s="23" t="str">
        <f>IF(6&gt;nA,"",INDEX(Configuracion!$E$13:$E$20,6))</f>
        <v/>
      </c>
      <c r="C52" s="28" t="str">
        <f>IF(6&gt;nA,"",SUMPRODUCT(INDEX($C13:$J13,1):INDEX($C13:$J13,nA),INDEX($C$43:$J$43,1):INDEX($C$43:$J$43,nA)))</f>
        <v/>
      </c>
      <c r="D52" s="28" t="str">
        <f>IF(6&gt;nA,"",$C$38)</f>
        <v/>
      </c>
      <c r="E52" s="36" t="str">
        <f>IF(6&gt;nA,"",C52/D52)</f>
        <v/>
      </c>
    </row>
    <row r="53" spans="2:10" ht="18" customHeight="1" x14ac:dyDescent="0.25">
      <c r="B53" s="23" t="str">
        <f>IF(7&gt;nA,"",INDEX(Configuracion!$E$13:$E$20,7))</f>
        <v/>
      </c>
      <c r="C53" s="28" t="str">
        <f>IF(7&gt;nA,"",SUMPRODUCT(INDEX($C14:$J14,1):INDEX($C14:$J14,nA),INDEX($C$43:$J$43,1):INDEX($C$43:$J$43,nA)))</f>
        <v/>
      </c>
      <c r="D53" s="28" t="str">
        <f>IF(7&gt;nA,"",$C$39)</f>
        <v/>
      </c>
      <c r="E53" s="36" t="str">
        <f>IF(7&gt;nA,"",C53/D53)</f>
        <v/>
      </c>
    </row>
    <row r="54" spans="2:10" ht="18" customHeight="1" x14ac:dyDescent="0.25">
      <c r="B54" s="23" t="str">
        <f>IF(8&gt;nA,"",INDEX(Configuracion!$E$13:$E$20,8))</f>
        <v/>
      </c>
      <c r="C54" s="28" t="str">
        <f>IF(8&gt;nA,"",SUMPRODUCT(INDEX($C15:$J15,1):INDEX($C15:$J15,nA),INDEX($C$43:$J$43,1):INDEX($C$43:$J$43,nA)))</f>
        <v/>
      </c>
      <c r="D54" s="28" t="str">
        <f>IF(8&gt;nA,"",$C$40)</f>
        <v/>
      </c>
      <c r="E54" s="36" t="str">
        <f>IF(8&gt;nA,"",C54/D54)</f>
        <v/>
      </c>
    </row>
    <row r="56" spans="2:10" ht="20.100000000000001" customHeight="1" x14ac:dyDescent="0.25">
      <c r="B56" s="85" t="s">
        <v>123</v>
      </c>
      <c r="C56" s="86"/>
      <c r="D56" s="86"/>
      <c r="E56" s="86"/>
      <c r="F56" s="86"/>
      <c r="G56" s="86"/>
      <c r="H56" s="86"/>
      <c r="I56" s="86"/>
      <c r="J56" s="86"/>
    </row>
    <row r="57" spans="2:10" x14ac:dyDescent="0.25">
      <c r="B57" s="37" t="s">
        <v>124</v>
      </c>
      <c r="C57" s="38">
        <f>AVERAGE(INDEX($E$47:$E$54,1):INDEX($E$47:$E$54,nA))</f>
        <v>3</v>
      </c>
    </row>
    <row r="58" spans="2:10" x14ac:dyDescent="0.25">
      <c r="B58" s="37" t="s">
        <v>125</v>
      </c>
      <c r="C58" s="39">
        <f>nA</f>
        <v>3</v>
      </c>
    </row>
    <row r="59" spans="2:10" x14ac:dyDescent="0.25">
      <c r="B59" s="37" t="s">
        <v>126</v>
      </c>
      <c r="C59" s="38">
        <f>IF(nA&lt;2,0,(C57-C58)/(C58-1))</f>
        <v>0</v>
      </c>
    </row>
    <row r="60" spans="2:10" x14ac:dyDescent="0.25">
      <c r="B60" s="37" t="s">
        <v>127</v>
      </c>
      <c r="C60" s="40">
        <f>INDEX(RI_tabla,nA)</f>
        <v>0.57999999999999996</v>
      </c>
    </row>
    <row r="61" spans="2:10" ht="15.75" x14ac:dyDescent="0.25">
      <c r="B61" s="41" t="s">
        <v>128</v>
      </c>
      <c r="C61" s="42">
        <f>IF(nA&lt;3,0,IF(C60=0,0,C59/C60))</f>
        <v>0</v>
      </c>
    </row>
    <row r="62" spans="2:10" ht="26.1" customHeight="1" x14ac:dyDescent="0.25">
      <c r="B62" s="43" t="s">
        <v>129</v>
      </c>
      <c r="C62" s="44">
        <f>C61</f>
        <v>0</v>
      </c>
      <c r="D62" s="97" t="str">
        <f>IF(C61&lt;=0.1,"ACEPTABLE  ·  puedes seguir",IF(C61&lt;=0.2,"DUDOSO  ·  revisa las comparaciones mas extremas","RECHAZADO  ·  hay que reevaluar esta matriz"))</f>
        <v>ACEPTABLE  ·  puedes seguir</v>
      </c>
      <c r="E62" s="63"/>
      <c r="F62" s="63"/>
      <c r="G62" s="63"/>
      <c r="H62" s="63"/>
      <c r="I62" s="63"/>
      <c r="J62" s="63"/>
    </row>
    <row r="64" spans="2:10" ht="30" customHeight="1" x14ac:dyDescent="0.25">
      <c r="B64" s="64" t="str">
        <f>IF(C61&lt;=0.1,"Tus juicios son coherentes. Los pesos del PASO 4 se pueden usar.","Busca en la matriz del PASO 1 el numero mas extremo (un 7 o un 9) y preguntate si de verdad es para tanto. Bajalo un escalon y vuelve a mirar el CR.")</f>
        <v>Tus juicios son coherentes. Los pesos del PASO 4 se pueden usar.</v>
      </c>
      <c r="C64" s="65"/>
      <c r="D64" s="65"/>
      <c r="E64" s="65"/>
      <c r="F64" s="65"/>
      <c r="G64" s="65"/>
      <c r="H64" s="65"/>
      <c r="I64" s="65"/>
      <c r="J64" s="65"/>
    </row>
  </sheetData>
  <mergeCells count="21">
    <mergeCell ref="L16:M18"/>
    <mergeCell ref="E36:J36"/>
    <mergeCell ref="E39:J39"/>
    <mergeCell ref="E35:J35"/>
    <mergeCell ref="E38:J38"/>
    <mergeCell ref="B64:J64"/>
    <mergeCell ref="E32:J32"/>
    <mergeCell ref="B20:J20"/>
    <mergeCell ref="B45:J45"/>
    <mergeCell ref="E37:J37"/>
    <mergeCell ref="B56:J56"/>
    <mergeCell ref="D62:J62"/>
    <mergeCell ref="E40:J40"/>
    <mergeCell ref="E34:J34"/>
    <mergeCell ref="B2:J2"/>
    <mergeCell ref="B4:J4"/>
    <mergeCell ref="E33:J33"/>
    <mergeCell ref="B3:J3"/>
    <mergeCell ref="B31:J31"/>
    <mergeCell ref="B6:J6"/>
    <mergeCell ref="B17:J17"/>
  </mergeCells>
  <conditionalFormatting sqref="B47:E54">
    <cfRule type="expression" dxfId="62" priority="5">
      <formula>ROW()-46&gt;nA</formula>
    </cfRule>
  </conditionalFormatting>
  <conditionalFormatting sqref="B4:J4">
    <cfRule type="expression" dxfId="61" priority="1">
      <formula>5&gt;nC</formula>
    </cfRule>
  </conditionalFormatting>
  <conditionalFormatting sqref="B8:J15">
    <cfRule type="expression" dxfId="60" priority="2">
      <formula>OR(ROW()-7&gt;nA,COLUMN()-2&gt;nA)</formula>
    </cfRule>
  </conditionalFormatting>
  <conditionalFormatting sqref="B22:J29">
    <cfRule type="expression" dxfId="59" priority="3">
      <formula>OR(ROW()-21&gt;nA,COLUMN()-2&gt;nA)</formula>
    </cfRule>
  </conditionalFormatting>
  <conditionalFormatting sqref="B33:J40">
    <cfRule type="expression" dxfId="58" priority="4">
      <formula>ROW()-32&gt;nA</formula>
    </cfRule>
  </conditionalFormatting>
  <conditionalFormatting sqref="C62:J62">
    <cfRule type="expression" dxfId="57" priority="6">
      <formula>$C$61&lt;=0.1</formula>
    </cfRule>
    <cfRule type="expression" dxfId="56" priority="7">
      <formula>AND($C$61&gt;0.1,$C$61&lt;=0.2)</formula>
    </cfRule>
    <cfRule type="expression" dxfId="55" priority="8">
      <formula>$C$61&gt;0.2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8:J15" xr:uid="{00000000-0002-0000-07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B8A7D"/>
    <pageSetUpPr fitToPage="1"/>
  </sheetPr>
  <dimension ref="B2:M64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136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131</v>
      </c>
      <c r="C3" s="65"/>
      <c r="D3" s="65"/>
      <c r="E3" s="65"/>
      <c r="F3" s="65"/>
      <c r="G3" s="65"/>
      <c r="H3" s="65"/>
      <c r="I3" s="65"/>
      <c r="J3" s="65"/>
    </row>
    <row r="4" spans="2:13" ht="21.95" customHeight="1" x14ac:dyDescent="0.25">
      <c r="B4" s="102" t="str">
        <f>IF(6&gt;nC,"ESTA HOJA NO SE USA (solo definiste "&amp;nC&amp;" criterios)","Criterio 6: "&amp;INDEX(Configuracion!$C$13:$C$20,6))</f>
        <v>ESTA HOJA NO SE USA (solo definiste 5 criterios)</v>
      </c>
      <c r="C4" s="72"/>
      <c r="D4" s="72"/>
      <c r="E4" s="72"/>
      <c r="F4" s="72"/>
      <c r="G4" s="72"/>
      <c r="H4" s="72"/>
      <c r="I4" s="72"/>
      <c r="J4" s="72"/>
    </row>
    <row r="6" spans="2:13" ht="20.100000000000001" customHeight="1" x14ac:dyDescent="0.25">
      <c r="B6" s="87" t="s">
        <v>94</v>
      </c>
      <c r="C6" s="88"/>
      <c r="D6" s="88"/>
      <c r="E6" s="88"/>
      <c r="F6" s="88"/>
      <c r="G6" s="88"/>
      <c r="H6" s="88"/>
      <c r="I6" s="88"/>
      <c r="J6" s="88"/>
      <c r="L6" s="19" t="s">
        <v>95</v>
      </c>
      <c r="M6" s="20" t="s">
        <v>96</v>
      </c>
    </row>
    <row r="7" spans="2:13" ht="32.1" customHeight="1" x14ac:dyDescent="0.25">
      <c r="B7" s="21" t="s">
        <v>97</v>
      </c>
      <c r="C7" s="21" t="str">
        <f>IF(1&gt;nA,"",INDEX(Configuracion!$E$13:$E$20,1))</f>
        <v>Nativas</v>
      </c>
      <c r="D7" s="21" t="str">
        <f>IF(2&gt;nA,"",INDEX(Configuracion!$E$13:$E$20,2))</f>
        <v>Multiplataforma</v>
      </c>
      <c r="E7" s="21" t="str">
        <f>IF(3&gt;nA,"",INDEX(Configuracion!$E$13:$E$20,3))</f>
        <v>Aplicación web</v>
      </c>
      <c r="F7" s="21" t="str">
        <f>IF(4&gt;nA,"",INDEX(Configuracion!$E$13:$E$20,4))</f>
        <v/>
      </c>
      <c r="G7" s="21" t="str">
        <f>IF(5&gt;nA,"",INDEX(Configuracion!$E$13:$E$20,5))</f>
        <v/>
      </c>
      <c r="H7" s="21" t="str">
        <f>IF(6&gt;nA,"",INDEX(Configuracion!$E$13:$E$20,6))</f>
        <v/>
      </c>
      <c r="I7" s="21" t="str">
        <f>IF(7&gt;nA,"",INDEX(Configuracion!$E$13:$E$20,7))</f>
        <v/>
      </c>
      <c r="J7" s="21" t="str">
        <f>IF(8&gt;nA,"",INDEX(Configuracion!$E$13:$E$20,8))</f>
        <v/>
      </c>
      <c r="L7" s="22" t="s">
        <v>3</v>
      </c>
      <c r="M7" s="6" t="s">
        <v>98</v>
      </c>
    </row>
    <row r="8" spans="2:13" ht="18" customHeight="1" x14ac:dyDescent="0.25">
      <c r="B8" s="23" t="str">
        <f>IF(1&gt;nA,"",INDEX(Configuracion!$E$13:$E$20,1))</f>
        <v>Nativas</v>
      </c>
      <c r="C8" s="24">
        <f>IF(1&gt;nA,"",1)</f>
        <v>1</v>
      </c>
      <c r="D8" s="25">
        <v>1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L8" s="22" t="s">
        <v>9</v>
      </c>
      <c r="M8" s="6" t="s">
        <v>99</v>
      </c>
    </row>
    <row r="9" spans="2:13" ht="18" customHeight="1" x14ac:dyDescent="0.25">
      <c r="B9" s="23" t="str">
        <f>IF(2&gt;nA,"",INDEX(Configuracion!$E$13:$E$20,2))</f>
        <v>Multiplataforma</v>
      </c>
      <c r="C9" s="26">
        <f>IF(2&gt;nA,"",IF(D8="","",1/D8))</f>
        <v>1</v>
      </c>
      <c r="D9" s="24">
        <f>IF(2&gt;nA,"",1)</f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L9" s="22" t="s">
        <v>15</v>
      </c>
      <c r="M9" s="6" t="s">
        <v>100</v>
      </c>
    </row>
    <row r="10" spans="2:13" ht="18" customHeight="1" x14ac:dyDescent="0.25">
      <c r="B10" s="23" t="str">
        <f>IF(3&gt;nA,"",INDEX(Configuracion!$E$13:$E$20,3))</f>
        <v>Aplicación web</v>
      </c>
      <c r="C10" s="26">
        <f>IF(3&gt;nA,"",IF(E8="","",1/E8))</f>
        <v>1</v>
      </c>
      <c r="D10" s="26">
        <f>IF(3&gt;nA,"",IF(E9="","",1/E9))</f>
        <v>1</v>
      </c>
      <c r="E10" s="24">
        <f>IF(3&gt;nA,"",1)</f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L10" s="22" t="s">
        <v>33</v>
      </c>
      <c r="M10" s="6" t="s">
        <v>101</v>
      </c>
    </row>
    <row r="11" spans="2:13" ht="18" customHeight="1" x14ac:dyDescent="0.25">
      <c r="B11" s="23" t="str">
        <f>IF(4&gt;nA,"",INDEX(Configuracion!$E$13:$E$20,4))</f>
        <v/>
      </c>
      <c r="C11" s="26" t="str">
        <f>IF(4&gt;nA,"",IF(F8="","",1/F8))</f>
        <v/>
      </c>
      <c r="D11" s="26" t="str">
        <f>IF(4&gt;nA,"",IF(F9="","",1/F9))</f>
        <v/>
      </c>
      <c r="E11" s="26" t="str">
        <f>IF(4&gt;nA,"",IF(F10="","",1/F10))</f>
        <v/>
      </c>
      <c r="F11" s="24" t="str">
        <f>IF(4&gt;nA,"",1)</f>
        <v/>
      </c>
      <c r="G11" s="25">
        <v>1</v>
      </c>
      <c r="H11" s="25">
        <v>1</v>
      </c>
      <c r="I11" s="25">
        <v>1</v>
      </c>
      <c r="J11" s="25">
        <v>1</v>
      </c>
      <c r="L11" s="22" t="s">
        <v>37</v>
      </c>
      <c r="M11" s="6" t="s">
        <v>102</v>
      </c>
    </row>
    <row r="12" spans="2:13" ht="18" customHeight="1" x14ac:dyDescent="0.25">
      <c r="B12" s="23" t="str">
        <f>IF(5&gt;nA,"",INDEX(Configuracion!$E$13:$E$20,5))</f>
        <v/>
      </c>
      <c r="C12" s="26" t="str">
        <f>IF(5&gt;nA,"",IF(G8="","",1/G8))</f>
        <v/>
      </c>
      <c r="D12" s="26" t="str">
        <f>IF(5&gt;nA,"",IF(G9="","",1/G9))</f>
        <v/>
      </c>
      <c r="E12" s="26" t="str">
        <f>IF(5&gt;nA,"",IF(G10="","",1/G10))</f>
        <v/>
      </c>
      <c r="F12" s="26" t="str">
        <f>IF(5&gt;nA,"",IF(G11="","",1/G11))</f>
        <v/>
      </c>
      <c r="G12" s="24" t="str">
        <f>IF(5&gt;nA,"",1)</f>
        <v/>
      </c>
      <c r="H12" s="25">
        <v>1</v>
      </c>
      <c r="I12" s="25">
        <v>1</v>
      </c>
      <c r="J12" s="25">
        <v>1</v>
      </c>
      <c r="L12" s="22" t="s">
        <v>103</v>
      </c>
      <c r="M12" s="6" t="s">
        <v>104</v>
      </c>
    </row>
    <row r="13" spans="2:13" ht="18" customHeight="1" x14ac:dyDescent="0.25">
      <c r="B13" s="23" t="str">
        <f>IF(6&gt;nA,"",INDEX(Configuracion!$E$13:$E$20,6))</f>
        <v/>
      </c>
      <c r="C13" s="26" t="str">
        <f>IF(6&gt;nA,"",IF(H8="","",1/H8))</f>
        <v/>
      </c>
      <c r="D13" s="26" t="str">
        <f>IF(6&gt;nA,"",IF(H9="","",1/H9))</f>
        <v/>
      </c>
      <c r="E13" s="26" t="str">
        <f>IF(6&gt;nA,"",IF(H10="","",1/H10))</f>
        <v/>
      </c>
      <c r="F13" s="26" t="str">
        <f>IF(6&gt;nA,"",IF(H11="","",1/H11))</f>
        <v/>
      </c>
      <c r="G13" s="26" t="str">
        <f>IF(6&gt;nA,"",IF(H12="","",1/H12))</f>
        <v/>
      </c>
      <c r="H13" s="24" t="str">
        <f>IF(6&gt;nA,"",1)</f>
        <v/>
      </c>
      <c r="I13" s="25">
        <v>1</v>
      </c>
      <c r="J13" s="25">
        <v>1</v>
      </c>
      <c r="L13" s="22" t="s">
        <v>105</v>
      </c>
      <c r="M13" s="6" t="s">
        <v>106</v>
      </c>
    </row>
    <row r="14" spans="2:13" ht="18" customHeight="1" x14ac:dyDescent="0.25">
      <c r="B14" s="23" t="str">
        <f>IF(7&gt;nA,"",INDEX(Configuracion!$E$13:$E$20,7))</f>
        <v/>
      </c>
      <c r="C14" s="26" t="str">
        <f>IF(7&gt;nA,"",IF(I8="","",1/I8))</f>
        <v/>
      </c>
      <c r="D14" s="26" t="str">
        <f>IF(7&gt;nA,"",IF(I9="","",1/I9))</f>
        <v/>
      </c>
      <c r="E14" s="26" t="str">
        <f>IF(7&gt;nA,"",IF(I10="","",1/I10))</f>
        <v/>
      </c>
      <c r="F14" s="26" t="str">
        <f>IF(7&gt;nA,"",IF(I11="","",1/I11))</f>
        <v/>
      </c>
      <c r="G14" s="26" t="str">
        <f>IF(7&gt;nA,"",IF(I12="","",1/I12))</f>
        <v/>
      </c>
      <c r="H14" s="26" t="str">
        <f>IF(7&gt;nA,"",IF(I13="","",1/I13))</f>
        <v/>
      </c>
      <c r="I14" s="24" t="str">
        <f>IF(7&gt;nA,"",1)</f>
        <v/>
      </c>
      <c r="J14" s="25">
        <v>1</v>
      </c>
      <c r="L14" s="22" t="s">
        <v>107</v>
      </c>
      <c r="M14" s="6" t="s">
        <v>108</v>
      </c>
    </row>
    <row r="15" spans="2:13" ht="18" customHeight="1" x14ac:dyDescent="0.25">
      <c r="B15" s="23" t="str">
        <f>IF(8&gt;nA,"",INDEX(Configuracion!$E$13:$E$20,8))</f>
        <v/>
      </c>
      <c r="C15" s="26" t="str">
        <f>IF(8&gt;nA,"",IF(J8="","",1/J8))</f>
        <v/>
      </c>
      <c r="D15" s="26" t="str">
        <f>IF(8&gt;nA,"",IF(J9="","",1/J9))</f>
        <v/>
      </c>
      <c r="E15" s="26" t="str">
        <f>IF(8&gt;nA,"",IF(J10="","",1/J10))</f>
        <v/>
      </c>
      <c r="F15" s="26" t="str">
        <f>IF(8&gt;nA,"",IF(J11="","",1/J11))</f>
        <v/>
      </c>
      <c r="G15" s="26" t="str">
        <f>IF(8&gt;nA,"",IF(J12="","",1/J12))</f>
        <v/>
      </c>
      <c r="H15" s="26" t="str">
        <f>IF(8&gt;nA,"",IF(J13="","",1/J13))</f>
        <v/>
      </c>
      <c r="I15" s="26" t="str">
        <f>IF(8&gt;nA,"",IF(J14="","",1/J14))</f>
        <v/>
      </c>
      <c r="J15" s="24" t="str">
        <f>IF(8&gt;nA,"",1)</f>
        <v/>
      </c>
    </row>
    <row r="16" spans="2:13" x14ac:dyDescent="0.25">
      <c r="L16" s="99" t="s">
        <v>109</v>
      </c>
      <c r="M16" s="65"/>
    </row>
    <row r="17" spans="2:13" ht="20.100000000000001" customHeight="1" x14ac:dyDescent="0.25">
      <c r="B17" s="87" t="s">
        <v>110</v>
      </c>
      <c r="C17" s="88"/>
      <c r="D17" s="88"/>
      <c r="E17" s="88"/>
      <c r="F17" s="88"/>
      <c r="G17" s="88"/>
      <c r="H17" s="88"/>
      <c r="I17" s="88"/>
      <c r="J17" s="88"/>
      <c r="L17" s="65"/>
      <c r="M17" s="65"/>
    </row>
    <row r="18" spans="2:13" x14ac:dyDescent="0.25">
      <c r="B18" s="23" t="s">
        <v>111</v>
      </c>
      <c r="C18" s="27">
        <f>IF(1&gt;nA,"",SUM(INDEX(C$8:C$15,1):INDEX(C$8:C$15,nA)))</f>
        <v>3</v>
      </c>
      <c r="D18" s="27">
        <f>IF(2&gt;nA,"",SUM(INDEX(D$8:D$15,1):INDEX(D$8:D$15,nA)))</f>
        <v>3</v>
      </c>
      <c r="E18" s="27">
        <f>IF(3&gt;nA,"",SUM(INDEX(E$8:E$15,1):INDEX(E$8:E$15,nA)))</f>
        <v>3</v>
      </c>
      <c r="F18" s="27" t="str">
        <f>IF(4&gt;nA,"",SUM(INDEX(F$8:F$15,1):INDEX(F$8:F$15,nA)))</f>
        <v/>
      </c>
      <c r="G18" s="27" t="str">
        <f>IF(5&gt;nA,"",SUM(INDEX(G$8:G$15,1):INDEX(G$8:G$15,nA)))</f>
        <v/>
      </c>
      <c r="H18" s="27" t="str">
        <f>IF(6&gt;nA,"",SUM(INDEX(H$8:H$15,1):INDEX(H$8:H$15,nA)))</f>
        <v/>
      </c>
      <c r="I18" s="27" t="str">
        <f>IF(7&gt;nA,"",SUM(INDEX(I$8:I$15,1):INDEX(I$8:I$15,nA)))</f>
        <v/>
      </c>
      <c r="J18" s="27" t="str">
        <f>IF(8&gt;nA,"",SUM(INDEX(J$8:J$15,1):INDEX(J$8:J$15,nA)))</f>
        <v/>
      </c>
      <c r="L18" s="65"/>
      <c r="M18" s="65"/>
    </row>
    <row r="20" spans="2:13" ht="20.100000000000001" customHeight="1" x14ac:dyDescent="0.25">
      <c r="B20" s="87" t="s">
        <v>112</v>
      </c>
      <c r="C20" s="88"/>
      <c r="D20" s="88"/>
      <c r="E20" s="88"/>
      <c r="F20" s="88"/>
      <c r="G20" s="88"/>
      <c r="H20" s="88"/>
      <c r="I20" s="88"/>
      <c r="J20" s="88"/>
    </row>
    <row r="21" spans="2:13" ht="32.1" customHeight="1" x14ac:dyDescent="0.25">
      <c r="B21" s="21" t="s">
        <v>97</v>
      </c>
      <c r="C21" s="21" t="str">
        <f>IF(1&gt;nA,"",INDEX(Configuracion!$E$13:$E$20,1))</f>
        <v>Nativas</v>
      </c>
      <c r="D21" s="21" t="str">
        <f>IF(2&gt;nA,"",INDEX(Configuracion!$E$13:$E$20,2))</f>
        <v>Multiplataforma</v>
      </c>
      <c r="E21" s="21" t="str">
        <f>IF(3&gt;nA,"",INDEX(Configuracion!$E$13:$E$20,3))</f>
        <v>Aplicación web</v>
      </c>
      <c r="F21" s="21" t="str">
        <f>IF(4&gt;nA,"",INDEX(Configuracion!$E$13:$E$20,4))</f>
        <v/>
      </c>
      <c r="G21" s="21" t="str">
        <f>IF(5&gt;nA,"",INDEX(Configuracion!$E$13:$E$20,5))</f>
        <v/>
      </c>
      <c r="H21" s="21" t="str">
        <f>IF(6&gt;nA,"",INDEX(Configuracion!$E$13:$E$20,6))</f>
        <v/>
      </c>
      <c r="I21" s="21" t="str">
        <f>IF(7&gt;nA,"",INDEX(Configuracion!$E$13:$E$20,7))</f>
        <v/>
      </c>
      <c r="J21" s="21" t="str">
        <f>IF(8&gt;nA,"",INDEX(Configuracion!$E$13:$E$20,8))</f>
        <v/>
      </c>
    </row>
    <row r="22" spans="2:13" ht="18" customHeight="1" x14ac:dyDescent="0.25">
      <c r="B22" s="23" t="str">
        <f>IF(1&gt;nA,"",INDEX(Configuracion!$E$13:$E$20,1))</f>
        <v>Nativas</v>
      </c>
      <c r="C22" s="28">
        <f>IF(OR(1&gt;nA,1&gt;nA),"",C8/C$18)</f>
        <v>0.33333333333333331</v>
      </c>
      <c r="D22" s="28">
        <f>IF(OR(1&gt;nA,2&gt;nA),"",D8/D$18)</f>
        <v>0.33333333333333331</v>
      </c>
      <c r="E22" s="28">
        <f>IF(OR(1&gt;nA,3&gt;nA),"",E8/E$18)</f>
        <v>0.33333333333333331</v>
      </c>
      <c r="F22" s="28" t="str">
        <f>IF(OR(1&gt;nA,4&gt;nA),"",F8/F$18)</f>
        <v/>
      </c>
      <c r="G22" s="28" t="str">
        <f>IF(OR(1&gt;nA,5&gt;nA),"",G8/G$18)</f>
        <v/>
      </c>
      <c r="H22" s="28" t="str">
        <f>IF(OR(1&gt;nA,6&gt;nA),"",H8/H$18)</f>
        <v/>
      </c>
      <c r="I22" s="28" t="str">
        <f>IF(OR(1&gt;nA,7&gt;nA),"",I8/I$18)</f>
        <v/>
      </c>
      <c r="J22" s="28" t="str">
        <f>IF(OR(1&gt;nA,8&gt;nA),"",J8/J$18)</f>
        <v/>
      </c>
    </row>
    <row r="23" spans="2:13" ht="18" customHeight="1" x14ac:dyDescent="0.25">
      <c r="B23" s="23" t="str">
        <f>IF(2&gt;nA,"",INDEX(Configuracion!$E$13:$E$20,2))</f>
        <v>Multiplataforma</v>
      </c>
      <c r="C23" s="28">
        <f>IF(OR(2&gt;nA,1&gt;nA),"",C9/C$18)</f>
        <v>0.33333333333333331</v>
      </c>
      <c r="D23" s="28">
        <f>IF(OR(2&gt;nA,2&gt;nA),"",D9/D$18)</f>
        <v>0.33333333333333331</v>
      </c>
      <c r="E23" s="28">
        <f>IF(OR(2&gt;nA,3&gt;nA),"",E9/E$18)</f>
        <v>0.33333333333333331</v>
      </c>
      <c r="F23" s="28" t="str">
        <f>IF(OR(2&gt;nA,4&gt;nA),"",F9/F$18)</f>
        <v/>
      </c>
      <c r="G23" s="28" t="str">
        <f>IF(OR(2&gt;nA,5&gt;nA),"",G9/G$18)</f>
        <v/>
      </c>
      <c r="H23" s="28" t="str">
        <f>IF(OR(2&gt;nA,6&gt;nA),"",H9/H$18)</f>
        <v/>
      </c>
      <c r="I23" s="28" t="str">
        <f>IF(OR(2&gt;nA,7&gt;nA),"",I9/I$18)</f>
        <v/>
      </c>
      <c r="J23" s="28" t="str">
        <f>IF(OR(2&gt;nA,8&gt;nA),"",J9/J$18)</f>
        <v/>
      </c>
    </row>
    <row r="24" spans="2:13" ht="18" customHeight="1" x14ac:dyDescent="0.25">
      <c r="B24" s="23" t="str">
        <f>IF(3&gt;nA,"",INDEX(Configuracion!$E$13:$E$20,3))</f>
        <v>Aplicación web</v>
      </c>
      <c r="C24" s="28">
        <f>IF(OR(3&gt;nA,1&gt;nA),"",C10/C$18)</f>
        <v>0.33333333333333331</v>
      </c>
      <c r="D24" s="28">
        <f>IF(OR(3&gt;nA,2&gt;nA),"",D10/D$18)</f>
        <v>0.33333333333333331</v>
      </c>
      <c r="E24" s="28">
        <f>IF(OR(3&gt;nA,3&gt;nA),"",E10/E$18)</f>
        <v>0.33333333333333331</v>
      </c>
      <c r="F24" s="28" t="str">
        <f>IF(OR(3&gt;nA,4&gt;nA),"",F10/F$18)</f>
        <v/>
      </c>
      <c r="G24" s="28" t="str">
        <f>IF(OR(3&gt;nA,5&gt;nA),"",G10/G$18)</f>
        <v/>
      </c>
      <c r="H24" s="28" t="str">
        <f>IF(OR(3&gt;nA,6&gt;nA),"",H10/H$18)</f>
        <v/>
      </c>
      <c r="I24" s="28" t="str">
        <f>IF(OR(3&gt;nA,7&gt;nA),"",I10/I$18)</f>
        <v/>
      </c>
      <c r="J24" s="28" t="str">
        <f>IF(OR(3&gt;nA,8&gt;nA),"",J10/J$18)</f>
        <v/>
      </c>
    </row>
    <row r="25" spans="2:13" ht="18" customHeight="1" x14ac:dyDescent="0.25">
      <c r="B25" s="23" t="str">
        <f>IF(4&gt;nA,"",INDEX(Configuracion!$E$13:$E$20,4))</f>
        <v/>
      </c>
      <c r="C25" s="28" t="str">
        <f>IF(OR(4&gt;nA,1&gt;nA),"",C11/C$18)</f>
        <v/>
      </c>
      <c r="D25" s="28" t="str">
        <f>IF(OR(4&gt;nA,2&gt;nA),"",D11/D$18)</f>
        <v/>
      </c>
      <c r="E25" s="28" t="str">
        <f>IF(OR(4&gt;nA,3&gt;nA),"",E11/E$18)</f>
        <v/>
      </c>
      <c r="F25" s="28" t="str">
        <f>IF(OR(4&gt;nA,4&gt;nA),"",F11/F$18)</f>
        <v/>
      </c>
      <c r="G25" s="28" t="str">
        <f>IF(OR(4&gt;nA,5&gt;nA),"",G11/G$18)</f>
        <v/>
      </c>
      <c r="H25" s="28" t="str">
        <f>IF(OR(4&gt;nA,6&gt;nA),"",H11/H$18)</f>
        <v/>
      </c>
      <c r="I25" s="28" t="str">
        <f>IF(OR(4&gt;nA,7&gt;nA),"",I11/I$18)</f>
        <v/>
      </c>
      <c r="J25" s="28" t="str">
        <f>IF(OR(4&gt;nA,8&gt;nA),"",J11/J$18)</f>
        <v/>
      </c>
    </row>
    <row r="26" spans="2:13" ht="18" customHeight="1" x14ac:dyDescent="0.25">
      <c r="B26" s="23" t="str">
        <f>IF(5&gt;nA,"",INDEX(Configuracion!$E$13:$E$20,5))</f>
        <v/>
      </c>
      <c r="C26" s="28" t="str">
        <f>IF(OR(5&gt;nA,1&gt;nA),"",C12/C$18)</f>
        <v/>
      </c>
      <c r="D26" s="28" t="str">
        <f>IF(OR(5&gt;nA,2&gt;nA),"",D12/D$18)</f>
        <v/>
      </c>
      <c r="E26" s="28" t="str">
        <f>IF(OR(5&gt;nA,3&gt;nA),"",E12/E$18)</f>
        <v/>
      </c>
      <c r="F26" s="28" t="str">
        <f>IF(OR(5&gt;nA,4&gt;nA),"",F12/F$18)</f>
        <v/>
      </c>
      <c r="G26" s="28" t="str">
        <f>IF(OR(5&gt;nA,5&gt;nA),"",G12/G$18)</f>
        <v/>
      </c>
      <c r="H26" s="28" t="str">
        <f>IF(OR(5&gt;nA,6&gt;nA),"",H12/H$18)</f>
        <v/>
      </c>
      <c r="I26" s="28" t="str">
        <f>IF(OR(5&gt;nA,7&gt;nA),"",I12/I$18)</f>
        <v/>
      </c>
      <c r="J26" s="28" t="str">
        <f>IF(OR(5&gt;nA,8&gt;nA),"",J12/J$18)</f>
        <v/>
      </c>
    </row>
    <row r="27" spans="2:13" ht="18" customHeight="1" x14ac:dyDescent="0.25">
      <c r="B27" s="23" t="str">
        <f>IF(6&gt;nA,"",INDEX(Configuracion!$E$13:$E$20,6))</f>
        <v/>
      </c>
      <c r="C27" s="28" t="str">
        <f>IF(OR(6&gt;nA,1&gt;nA),"",C13/C$18)</f>
        <v/>
      </c>
      <c r="D27" s="28" t="str">
        <f>IF(OR(6&gt;nA,2&gt;nA),"",D13/D$18)</f>
        <v/>
      </c>
      <c r="E27" s="28" t="str">
        <f>IF(OR(6&gt;nA,3&gt;nA),"",E13/E$18)</f>
        <v/>
      </c>
      <c r="F27" s="28" t="str">
        <f>IF(OR(6&gt;nA,4&gt;nA),"",F13/F$18)</f>
        <v/>
      </c>
      <c r="G27" s="28" t="str">
        <f>IF(OR(6&gt;nA,5&gt;nA),"",G13/G$18)</f>
        <v/>
      </c>
      <c r="H27" s="28" t="str">
        <f>IF(OR(6&gt;nA,6&gt;nA),"",H13/H$18)</f>
        <v/>
      </c>
      <c r="I27" s="28" t="str">
        <f>IF(OR(6&gt;nA,7&gt;nA),"",I13/I$18)</f>
        <v/>
      </c>
      <c r="J27" s="28" t="str">
        <f>IF(OR(6&gt;nA,8&gt;nA),"",J13/J$18)</f>
        <v/>
      </c>
    </row>
    <row r="28" spans="2:13" ht="18" customHeight="1" x14ac:dyDescent="0.25">
      <c r="B28" s="23" t="str">
        <f>IF(7&gt;nA,"",INDEX(Configuracion!$E$13:$E$20,7))</f>
        <v/>
      </c>
      <c r="C28" s="28" t="str">
        <f>IF(OR(7&gt;nA,1&gt;nA),"",C14/C$18)</f>
        <v/>
      </c>
      <c r="D28" s="28" t="str">
        <f>IF(OR(7&gt;nA,2&gt;nA),"",D14/D$18)</f>
        <v/>
      </c>
      <c r="E28" s="28" t="str">
        <f>IF(OR(7&gt;nA,3&gt;nA),"",E14/E$18)</f>
        <v/>
      </c>
      <c r="F28" s="28" t="str">
        <f>IF(OR(7&gt;nA,4&gt;nA),"",F14/F$18)</f>
        <v/>
      </c>
      <c r="G28" s="28" t="str">
        <f>IF(OR(7&gt;nA,5&gt;nA),"",G14/G$18)</f>
        <v/>
      </c>
      <c r="H28" s="28" t="str">
        <f>IF(OR(7&gt;nA,6&gt;nA),"",H14/H$18)</f>
        <v/>
      </c>
      <c r="I28" s="28" t="str">
        <f>IF(OR(7&gt;nA,7&gt;nA),"",I14/I$18)</f>
        <v/>
      </c>
      <c r="J28" s="28" t="str">
        <f>IF(OR(7&gt;nA,8&gt;nA),"",J14/J$18)</f>
        <v/>
      </c>
    </row>
    <row r="29" spans="2:13" ht="18" customHeight="1" x14ac:dyDescent="0.25">
      <c r="B29" s="23" t="str">
        <f>IF(8&gt;nA,"",INDEX(Configuracion!$E$13:$E$20,8))</f>
        <v/>
      </c>
      <c r="C29" s="28" t="str">
        <f>IF(OR(8&gt;nA,1&gt;nA),"",C15/C$18)</f>
        <v/>
      </c>
      <c r="D29" s="28" t="str">
        <f>IF(OR(8&gt;nA,2&gt;nA),"",D15/D$18)</f>
        <v/>
      </c>
      <c r="E29" s="28" t="str">
        <f>IF(OR(8&gt;nA,3&gt;nA),"",E15/E$18)</f>
        <v/>
      </c>
      <c r="F29" s="28" t="str">
        <f>IF(OR(8&gt;nA,4&gt;nA),"",F15/F$18)</f>
        <v/>
      </c>
      <c r="G29" s="28" t="str">
        <f>IF(OR(8&gt;nA,5&gt;nA),"",G15/G$18)</f>
        <v/>
      </c>
      <c r="H29" s="28" t="str">
        <f>IF(OR(8&gt;nA,6&gt;nA),"",H15/H$18)</f>
        <v/>
      </c>
      <c r="I29" s="28" t="str">
        <f>IF(OR(8&gt;nA,7&gt;nA),"",I15/I$18)</f>
        <v/>
      </c>
      <c r="J29" s="28" t="str">
        <f>IF(OR(8&gt;nA,8&gt;nA),"",J15/J$18)</f>
        <v/>
      </c>
    </row>
    <row r="31" spans="2:13" ht="20.100000000000001" customHeight="1" x14ac:dyDescent="0.25">
      <c r="B31" s="87" t="s">
        <v>113</v>
      </c>
      <c r="C31" s="88"/>
      <c r="D31" s="88"/>
      <c r="E31" s="88"/>
      <c r="F31" s="88"/>
      <c r="G31" s="88"/>
      <c r="H31" s="88"/>
      <c r="I31" s="88"/>
      <c r="J31" s="88"/>
    </row>
    <row r="32" spans="2:13" x14ac:dyDescent="0.25">
      <c r="B32" s="3" t="s">
        <v>114</v>
      </c>
      <c r="C32" s="3" t="s">
        <v>115</v>
      </c>
      <c r="D32" s="3" t="s">
        <v>116</v>
      </c>
      <c r="E32" s="100" t="s">
        <v>117</v>
      </c>
      <c r="F32" s="101"/>
      <c r="G32" s="101"/>
      <c r="H32" s="101"/>
      <c r="I32" s="101"/>
      <c r="J32" s="101"/>
    </row>
    <row r="33" spans="2:10" ht="18" customHeight="1" x14ac:dyDescent="0.25">
      <c r="B33" s="23" t="str">
        <f>IF(1&gt;nA,"",INDEX(Configuracion!$E$13:$E$20,1))</f>
        <v>Nativas</v>
      </c>
      <c r="C33" s="29">
        <f>IF(1&gt;nA,"",AVERAGE(INDEX($C22:$J22,1):INDEX($C22:$J22,nA)))</f>
        <v>0.33333333333333331</v>
      </c>
      <c r="D33" s="30">
        <f>IF(1&gt;nA,"",C33)</f>
        <v>0.33333333333333331</v>
      </c>
      <c r="E33" s="98" t="str">
        <f>IF(1&gt;nA,"","De cada 100 puntos de importancia, este se lleva "&amp;TEXT(C33*100,"0,0")&amp;".")</f>
        <v>De cada 100 puntos de importancia, este se lleva 33.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IF(2&gt;nA,"",INDEX(Configuracion!$E$13:$E$20,2))</f>
        <v>Multiplataforma</v>
      </c>
      <c r="C34" s="29">
        <f>IF(2&gt;nA,"",AVERAGE(INDEX($C23:$J23,1):INDEX($C23:$J23,nA)))</f>
        <v>0.33333333333333331</v>
      </c>
      <c r="D34" s="30">
        <f>IF(2&gt;nA,"",C34)</f>
        <v>0.33333333333333331</v>
      </c>
      <c r="E34" s="98" t="str">
        <f>IF(2&gt;nA,"","De cada 100 puntos de importancia, este se lleva "&amp;TEXT(C34*100,"0,0")&amp;".")</f>
        <v>De cada 100 puntos de importancia, este se lleva 33.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IF(3&gt;nA,"",INDEX(Configuracion!$E$13:$E$20,3))</f>
        <v>Aplicación web</v>
      </c>
      <c r="C35" s="29">
        <f>IF(3&gt;nA,"",AVERAGE(INDEX($C24:$J24,1):INDEX($C24:$J24,nA)))</f>
        <v>0.33333333333333331</v>
      </c>
      <c r="D35" s="30">
        <f>IF(3&gt;nA,"",C35)</f>
        <v>0.33333333333333331</v>
      </c>
      <c r="E35" s="98" t="str">
        <f>IF(3&gt;nA,"","De cada 100 puntos de importancia, este se lleva "&amp;TEXT(C35*100,"0,0")&amp;".")</f>
        <v>De cada 100 puntos de importancia, este se lleva 33.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IF(4&gt;nA,"",INDEX(Configuracion!$E$13:$E$20,4))</f>
        <v/>
      </c>
      <c r="C36" s="29" t="str">
        <f>IF(4&gt;nA,"",AVERAGE(INDEX($C25:$J25,1):INDEX($C25:$J25,nA)))</f>
        <v/>
      </c>
      <c r="D36" s="30" t="str">
        <f>IF(4&gt;nA,"",C36)</f>
        <v/>
      </c>
      <c r="E36" s="98" t="str">
        <f>IF(4&gt;nA,"","De cada 100 puntos de importancia, este se lleva "&amp;TEXT(C36*100,"0,0")&amp;".")</f>
        <v/>
      </c>
      <c r="F36" s="63"/>
      <c r="G36" s="63"/>
      <c r="H36" s="63"/>
      <c r="I36" s="63"/>
      <c r="J36" s="63"/>
    </row>
    <row r="37" spans="2:10" ht="18" customHeight="1" x14ac:dyDescent="0.25">
      <c r="B37" s="23" t="str">
        <f>IF(5&gt;nA,"",INDEX(Configuracion!$E$13:$E$20,5))</f>
        <v/>
      </c>
      <c r="C37" s="29" t="str">
        <f>IF(5&gt;nA,"",AVERAGE(INDEX($C26:$J26,1):INDEX($C26:$J26,nA)))</f>
        <v/>
      </c>
      <c r="D37" s="30" t="str">
        <f>IF(5&gt;nA,"",C37)</f>
        <v/>
      </c>
      <c r="E37" s="98" t="str">
        <f>IF(5&gt;nA,"","De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IF(6&gt;nA,"",INDEX(Configuracion!$E$13:$E$20,6))</f>
        <v/>
      </c>
      <c r="C38" s="29" t="str">
        <f>IF(6&gt;nA,"",AVERAGE(INDEX($C27:$J27,1):INDEX($C27:$J27,nA)))</f>
        <v/>
      </c>
      <c r="D38" s="30" t="str">
        <f>IF(6&gt;nA,"",C38)</f>
        <v/>
      </c>
      <c r="E38" s="98" t="str">
        <f>IF(6&gt;nA,"","De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IF(7&gt;nA,"",INDEX(Configuracion!$E$13:$E$20,7))</f>
        <v/>
      </c>
      <c r="C39" s="29" t="str">
        <f>IF(7&gt;nA,"",AVERAGE(INDEX($C28:$J28,1):INDEX($C28:$J28,nA)))</f>
        <v/>
      </c>
      <c r="D39" s="30" t="str">
        <f>IF(7&gt;nA,"",C39)</f>
        <v/>
      </c>
      <c r="E39" s="98" t="str">
        <f>IF(7&gt;nA,"","De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ht="18" customHeight="1" x14ac:dyDescent="0.25">
      <c r="B40" s="23" t="str">
        <f>IF(8&gt;nA,"",INDEX(Configuracion!$E$13:$E$20,8))</f>
        <v/>
      </c>
      <c r="C40" s="29" t="str">
        <f>IF(8&gt;nA,"",AVERAGE(INDEX($C29:$J29,1):INDEX($C29:$J29,nA)))</f>
        <v/>
      </c>
      <c r="D40" s="30" t="str">
        <f>IF(8&gt;nA,"",C40)</f>
        <v/>
      </c>
      <c r="E40" s="98" t="str">
        <f>IF(8&gt;nA,"","De cada 100 puntos de importancia, este se lleva "&amp;TEXT(C40*100,"0,0")&amp;".")</f>
        <v/>
      </c>
      <c r="F40" s="63"/>
      <c r="G40" s="63"/>
      <c r="H40" s="63"/>
      <c r="I40" s="63"/>
      <c r="J40" s="63"/>
    </row>
    <row r="41" spans="2:10" x14ac:dyDescent="0.25">
      <c r="B41" s="31" t="s">
        <v>118</v>
      </c>
      <c r="C41" s="32">
        <f>SUM(INDEX($C$33:$C$40,1):INDEX($C$33:$C$40,nA))</f>
        <v>1</v>
      </c>
    </row>
    <row r="43" spans="2:10" x14ac:dyDescent="0.25">
      <c r="B43" s="33" t="s">
        <v>119</v>
      </c>
      <c r="C43" s="34">
        <f>IF(1&gt;nA,"",$C$33)</f>
        <v>0.33333333333333331</v>
      </c>
      <c r="D43" s="34">
        <f>IF(2&gt;nA,"",$C$34)</f>
        <v>0.33333333333333331</v>
      </c>
      <c r="E43" s="34">
        <f>IF(3&gt;nA,"",$C$35)</f>
        <v>0.33333333333333331</v>
      </c>
      <c r="F43" s="34" t="str">
        <f>IF(4&gt;nA,"",$C$36)</f>
        <v/>
      </c>
      <c r="G43" s="34" t="str">
        <f>IF(5&gt;nA,"",$C$37)</f>
        <v/>
      </c>
      <c r="H43" s="34" t="str">
        <f>IF(6&gt;nA,"",$C$38)</f>
        <v/>
      </c>
      <c r="I43" s="34" t="str">
        <f>IF(7&gt;nA,"",$C$39)</f>
        <v/>
      </c>
      <c r="J43" s="34" t="str">
        <f>IF(8&gt;nA,"",$C$40)</f>
        <v/>
      </c>
    </row>
    <row r="45" spans="2:10" ht="20.100000000000001" customHeight="1" x14ac:dyDescent="0.25">
      <c r="B45" s="87" t="s">
        <v>120</v>
      </c>
      <c r="C45" s="88"/>
      <c r="D45" s="88"/>
      <c r="E45" s="88"/>
      <c r="F45" s="88"/>
      <c r="G45" s="88"/>
      <c r="H45" s="88"/>
      <c r="I45" s="88"/>
      <c r="J45" s="88"/>
    </row>
    <row r="46" spans="2:10" ht="27.95" customHeight="1" x14ac:dyDescent="0.25">
      <c r="B46" s="35" t="s">
        <v>114</v>
      </c>
      <c r="C46" s="35" t="s">
        <v>121</v>
      </c>
      <c r="D46" s="35" t="s">
        <v>115</v>
      </c>
      <c r="E46" s="35" t="s">
        <v>122</v>
      </c>
    </row>
    <row r="47" spans="2:10" ht="18" customHeight="1" x14ac:dyDescent="0.25">
      <c r="B47" s="23" t="str">
        <f>IF(1&gt;nA,"",INDEX(Configuracion!$E$13:$E$20,1))</f>
        <v>Nativas</v>
      </c>
      <c r="C47" s="28">
        <f>IF(1&gt;nA,"",SUMPRODUCT(INDEX($C8:$J8,1):INDEX($C8:$J8,nA),INDEX($C$43:$J$43,1):INDEX($C$43:$J$43,nA)))</f>
        <v>1</v>
      </c>
      <c r="D47" s="28">
        <f>IF(1&gt;nA,"",$C$33)</f>
        <v>0.33333333333333331</v>
      </c>
      <c r="E47" s="36">
        <f>IF(1&gt;nA,"",C47/D47)</f>
        <v>3</v>
      </c>
    </row>
    <row r="48" spans="2:10" ht="18" customHeight="1" x14ac:dyDescent="0.25">
      <c r="B48" s="23" t="str">
        <f>IF(2&gt;nA,"",INDEX(Configuracion!$E$13:$E$20,2))</f>
        <v>Multiplataforma</v>
      </c>
      <c r="C48" s="28">
        <f>IF(2&gt;nA,"",SUMPRODUCT(INDEX($C9:$J9,1):INDEX($C9:$J9,nA),INDEX($C$43:$J$43,1):INDEX($C$43:$J$43,nA)))</f>
        <v>1</v>
      </c>
      <c r="D48" s="28">
        <f>IF(2&gt;nA,"",$C$34)</f>
        <v>0.33333333333333331</v>
      </c>
      <c r="E48" s="36">
        <f>IF(2&gt;nA,"",C48/D48)</f>
        <v>3</v>
      </c>
    </row>
    <row r="49" spans="2:10" ht="18" customHeight="1" x14ac:dyDescent="0.25">
      <c r="B49" s="23" t="str">
        <f>IF(3&gt;nA,"",INDEX(Configuracion!$E$13:$E$20,3))</f>
        <v>Aplicación web</v>
      </c>
      <c r="C49" s="28">
        <f>IF(3&gt;nA,"",SUMPRODUCT(INDEX($C10:$J10,1):INDEX($C10:$J10,nA),INDEX($C$43:$J$43,1):INDEX($C$43:$J$43,nA)))</f>
        <v>1</v>
      </c>
      <c r="D49" s="28">
        <f>IF(3&gt;nA,"",$C$35)</f>
        <v>0.33333333333333331</v>
      </c>
      <c r="E49" s="36">
        <f>IF(3&gt;nA,"",C49/D49)</f>
        <v>3</v>
      </c>
    </row>
    <row r="50" spans="2:10" ht="18" customHeight="1" x14ac:dyDescent="0.25">
      <c r="B50" s="23" t="str">
        <f>IF(4&gt;nA,"",INDEX(Configuracion!$E$13:$E$20,4))</f>
        <v/>
      </c>
      <c r="C50" s="28" t="str">
        <f>IF(4&gt;nA,"",SUMPRODUCT(INDEX($C11:$J11,1):INDEX($C11:$J11,nA),INDEX($C$43:$J$43,1):INDEX($C$43:$J$43,nA)))</f>
        <v/>
      </c>
      <c r="D50" s="28" t="str">
        <f>IF(4&gt;nA,"",$C$36)</f>
        <v/>
      </c>
      <c r="E50" s="36" t="str">
        <f>IF(4&gt;nA,"",C50/D50)</f>
        <v/>
      </c>
    </row>
    <row r="51" spans="2:10" ht="18" customHeight="1" x14ac:dyDescent="0.25">
      <c r="B51" s="23" t="str">
        <f>IF(5&gt;nA,"",INDEX(Configuracion!$E$13:$E$20,5))</f>
        <v/>
      </c>
      <c r="C51" s="28" t="str">
        <f>IF(5&gt;nA,"",SUMPRODUCT(INDEX($C12:$J12,1):INDEX($C12:$J12,nA),INDEX($C$43:$J$43,1):INDEX($C$43:$J$43,nA)))</f>
        <v/>
      </c>
      <c r="D51" s="28" t="str">
        <f>IF(5&gt;nA,"",$C$37)</f>
        <v/>
      </c>
      <c r="E51" s="36" t="str">
        <f>IF(5&gt;nA,"",C51/D51)</f>
        <v/>
      </c>
    </row>
    <row r="52" spans="2:10" ht="18" customHeight="1" x14ac:dyDescent="0.25">
      <c r="B52" s="23" t="str">
        <f>IF(6&gt;nA,"",INDEX(Configuracion!$E$13:$E$20,6))</f>
        <v/>
      </c>
      <c r="C52" s="28" t="str">
        <f>IF(6&gt;nA,"",SUMPRODUCT(INDEX($C13:$J13,1):INDEX($C13:$J13,nA),INDEX($C$43:$J$43,1):INDEX($C$43:$J$43,nA)))</f>
        <v/>
      </c>
      <c r="D52" s="28" t="str">
        <f>IF(6&gt;nA,"",$C$38)</f>
        <v/>
      </c>
      <c r="E52" s="36" t="str">
        <f>IF(6&gt;nA,"",C52/D52)</f>
        <v/>
      </c>
    </row>
    <row r="53" spans="2:10" ht="18" customHeight="1" x14ac:dyDescent="0.25">
      <c r="B53" s="23" t="str">
        <f>IF(7&gt;nA,"",INDEX(Configuracion!$E$13:$E$20,7))</f>
        <v/>
      </c>
      <c r="C53" s="28" t="str">
        <f>IF(7&gt;nA,"",SUMPRODUCT(INDEX($C14:$J14,1):INDEX($C14:$J14,nA),INDEX($C$43:$J$43,1):INDEX($C$43:$J$43,nA)))</f>
        <v/>
      </c>
      <c r="D53" s="28" t="str">
        <f>IF(7&gt;nA,"",$C$39)</f>
        <v/>
      </c>
      <c r="E53" s="36" t="str">
        <f>IF(7&gt;nA,"",C53/D53)</f>
        <v/>
      </c>
    </row>
    <row r="54" spans="2:10" ht="18" customHeight="1" x14ac:dyDescent="0.25">
      <c r="B54" s="23" t="str">
        <f>IF(8&gt;nA,"",INDEX(Configuracion!$E$13:$E$20,8))</f>
        <v/>
      </c>
      <c r="C54" s="28" t="str">
        <f>IF(8&gt;nA,"",SUMPRODUCT(INDEX($C15:$J15,1):INDEX($C15:$J15,nA),INDEX($C$43:$J$43,1):INDEX($C$43:$J$43,nA)))</f>
        <v/>
      </c>
      <c r="D54" s="28" t="str">
        <f>IF(8&gt;nA,"",$C$40)</f>
        <v/>
      </c>
      <c r="E54" s="36" t="str">
        <f>IF(8&gt;nA,"",C54/D54)</f>
        <v/>
      </c>
    </row>
    <row r="56" spans="2:10" ht="20.100000000000001" customHeight="1" x14ac:dyDescent="0.25">
      <c r="B56" s="85" t="s">
        <v>123</v>
      </c>
      <c r="C56" s="86"/>
      <c r="D56" s="86"/>
      <c r="E56" s="86"/>
      <c r="F56" s="86"/>
      <c r="G56" s="86"/>
      <c r="H56" s="86"/>
      <c r="I56" s="86"/>
      <c r="J56" s="86"/>
    </row>
    <row r="57" spans="2:10" x14ac:dyDescent="0.25">
      <c r="B57" s="37" t="s">
        <v>124</v>
      </c>
      <c r="C57" s="38">
        <f>AVERAGE(INDEX($E$47:$E$54,1):INDEX($E$47:$E$54,nA))</f>
        <v>3</v>
      </c>
    </row>
    <row r="58" spans="2:10" x14ac:dyDescent="0.25">
      <c r="B58" s="37" t="s">
        <v>125</v>
      </c>
      <c r="C58" s="39">
        <f>nA</f>
        <v>3</v>
      </c>
    </row>
    <row r="59" spans="2:10" x14ac:dyDescent="0.25">
      <c r="B59" s="37" t="s">
        <v>126</v>
      </c>
      <c r="C59" s="38">
        <f>IF(nA&lt;2,0,(C57-C58)/(C58-1))</f>
        <v>0</v>
      </c>
    </row>
    <row r="60" spans="2:10" x14ac:dyDescent="0.25">
      <c r="B60" s="37" t="s">
        <v>127</v>
      </c>
      <c r="C60" s="40">
        <f>INDEX(RI_tabla,nA)</f>
        <v>0.57999999999999996</v>
      </c>
    </row>
    <row r="61" spans="2:10" ht="15.75" x14ac:dyDescent="0.25">
      <c r="B61" s="41" t="s">
        <v>128</v>
      </c>
      <c r="C61" s="42">
        <f>IF(nA&lt;3,0,IF(C60=0,0,C59/C60))</f>
        <v>0</v>
      </c>
    </row>
    <row r="62" spans="2:10" ht="26.1" customHeight="1" x14ac:dyDescent="0.25">
      <c r="B62" s="43" t="s">
        <v>129</v>
      </c>
      <c r="C62" s="44">
        <f>C61</f>
        <v>0</v>
      </c>
      <c r="D62" s="97" t="str">
        <f>IF(C61&lt;=0.1,"ACEPTABLE  ·  puedes seguir",IF(C61&lt;=0.2,"DUDOSO  ·  revisa las comparaciones mas extremas","RECHAZADO  ·  hay que reevaluar esta matriz"))</f>
        <v>ACEPTABLE  ·  puedes seguir</v>
      </c>
      <c r="E62" s="63"/>
      <c r="F62" s="63"/>
      <c r="G62" s="63"/>
      <c r="H62" s="63"/>
      <c r="I62" s="63"/>
      <c r="J62" s="63"/>
    </row>
    <row r="64" spans="2:10" ht="30" customHeight="1" x14ac:dyDescent="0.25">
      <c r="B64" s="64" t="str">
        <f>IF(C61&lt;=0.1,"Tus juicios son coherentes. Los pesos del PASO 4 se pueden usar.","Busca en la matriz del PASO 1 el numero mas extremo (un 7 o un 9) y preguntate si de verdad es para tanto. Bajalo un escalon y vuelve a mirar el CR.")</f>
        <v>Tus juicios son coherentes. Los pesos del PASO 4 se pueden usar.</v>
      </c>
      <c r="C64" s="65"/>
      <c r="D64" s="65"/>
      <c r="E64" s="65"/>
      <c r="F64" s="65"/>
      <c r="G64" s="65"/>
      <c r="H64" s="65"/>
      <c r="I64" s="65"/>
      <c r="J64" s="65"/>
    </row>
  </sheetData>
  <mergeCells count="21">
    <mergeCell ref="L16:M18"/>
    <mergeCell ref="E36:J36"/>
    <mergeCell ref="E39:J39"/>
    <mergeCell ref="E35:J35"/>
    <mergeCell ref="E38:J38"/>
    <mergeCell ref="B64:J64"/>
    <mergeCell ref="E32:J32"/>
    <mergeCell ref="B20:J20"/>
    <mergeCell ref="B45:J45"/>
    <mergeCell ref="E37:J37"/>
    <mergeCell ref="B56:J56"/>
    <mergeCell ref="D62:J62"/>
    <mergeCell ref="E40:J40"/>
    <mergeCell ref="E34:J34"/>
    <mergeCell ref="B2:J2"/>
    <mergeCell ref="B4:J4"/>
    <mergeCell ref="E33:J33"/>
    <mergeCell ref="B3:J3"/>
    <mergeCell ref="B31:J31"/>
    <mergeCell ref="B6:J6"/>
    <mergeCell ref="B17:J17"/>
  </mergeCells>
  <conditionalFormatting sqref="B47:E54">
    <cfRule type="expression" dxfId="54" priority="5">
      <formula>ROW()-46&gt;nA</formula>
    </cfRule>
  </conditionalFormatting>
  <conditionalFormatting sqref="B4:J4">
    <cfRule type="expression" dxfId="53" priority="1">
      <formula>6&gt;nC</formula>
    </cfRule>
  </conditionalFormatting>
  <conditionalFormatting sqref="B8:J15">
    <cfRule type="expression" dxfId="52" priority="2">
      <formula>OR(ROW()-7&gt;nA,COLUMN()-2&gt;nA)</formula>
    </cfRule>
  </conditionalFormatting>
  <conditionalFormatting sqref="B22:J29">
    <cfRule type="expression" dxfId="51" priority="3">
      <formula>OR(ROW()-21&gt;nA,COLUMN()-2&gt;nA)</formula>
    </cfRule>
  </conditionalFormatting>
  <conditionalFormatting sqref="B33:J40">
    <cfRule type="expression" dxfId="50" priority="4">
      <formula>ROW()-32&gt;nA</formula>
    </cfRule>
  </conditionalFormatting>
  <conditionalFormatting sqref="C62:J62">
    <cfRule type="expression" dxfId="49" priority="6">
      <formula>$C$61&lt;=0.1</formula>
    </cfRule>
    <cfRule type="expression" dxfId="48" priority="7">
      <formula>AND($C$61&gt;0.1,$C$61&lt;=0.2)</formula>
    </cfRule>
    <cfRule type="expression" dxfId="47" priority="8">
      <formula>$C$61&gt;0.2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8:J15" xr:uid="{00000000-0002-0000-08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B8A7D"/>
    <pageSetUpPr fitToPage="1"/>
  </sheetPr>
  <dimension ref="B2:M64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137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131</v>
      </c>
      <c r="C3" s="65"/>
      <c r="D3" s="65"/>
      <c r="E3" s="65"/>
      <c r="F3" s="65"/>
      <c r="G3" s="65"/>
      <c r="H3" s="65"/>
      <c r="I3" s="65"/>
      <c r="J3" s="65"/>
    </row>
    <row r="4" spans="2:13" ht="21.95" customHeight="1" x14ac:dyDescent="0.25">
      <c r="B4" s="102" t="str">
        <f>IF(7&gt;nC,"ESTA HOJA NO SE USA (solo definiste "&amp;nC&amp;" criterios)","Criterio 7: "&amp;INDEX(Configuracion!$C$13:$C$20,7))</f>
        <v>ESTA HOJA NO SE USA (solo definiste 5 criterios)</v>
      </c>
      <c r="C4" s="72"/>
      <c r="D4" s="72"/>
      <c r="E4" s="72"/>
      <c r="F4" s="72"/>
      <c r="G4" s="72"/>
      <c r="H4" s="72"/>
      <c r="I4" s="72"/>
      <c r="J4" s="72"/>
    </row>
    <row r="6" spans="2:13" ht="20.100000000000001" customHeight="1" x14ac:dyDescent="0.25">
      <c r="B6" s="87" t="s">
        <v>94</v>
      </c>
      <c r="C6" s="88"/>
      <c r="D6" s="88"/>
      <c r="E6" s="88"/>
      <c r="F6" s="88"/>
      <c r="G6" s="88"/>
      <c r="H6" s="88"/>
      <c r="I6" s="88"/>
      <c r="J6" s="88"/>
      <c r="L6" s="19" t="s">
        <v>95</v>
      </c>
      <c r="M6" s="20" t="s">
        <v>96</v>
      </c>
    </row>
    <row r="7" spans="2:13" ht="32.1" customHeight="1" x14ac:dyDescent="0.25">
      <c r="B7" s="21" t="s">
        <v>97</v>
      </c>
      <c r="C7" s="21" t="str">
        <f>IF(1&gt;nA,"",INDEX(Configuracion!$E$13:$E$20,1))</f>
        <v>Nativas</v>
      </c>
      <c r="D7" s="21" t="str">
        <f>IF(2&gt;nA,"",INDEX(Configuracion!$E$13:$E$20,2))</f>
        <v>Multiplataforma</v>
      </c>
      <c r="E7" s="21" t="str">
        <f>IF(3&gt;nA,"",INDEX(Configuracion!$E$13:$E$20,3))</f>
        <v>Aplicación web</v>
      </c>
      <c r="F7" s="21" t="str">
        <f>IF(4&gt;nA,"",INDEX(Configuracion!$E$13:$E$20,4))</f>
        <v/>
      </c>
      <c r="G7" s="21" t="str">
        <f>IF(5&gt;nA,"",INDEX(Configuracion!$E$13:$E$20,5))</f>
        <v/>
      </c>
      <c r="H7" s="21" t="str">
        <f>IF(6&gt;nA,"",INDEX(Configuracion!$E$13:$E$20,6))</f>
        <v/>
      </c>
      <c r="I7" s="21" t="str">
        <f>IF(7&gt;nA,"",INDEX(Configuracion!$E$13:$E$20,7))</f>
        <v/>
      </c>
      <c r="J7" s="21" t="str">
        <f>IF(8&gt;nA,"",INDEX(Configuracion!$E$13:$E$20,8))</f>
        <v/>
      </c>
      <c r="L7" s="22" t="s">
        <v>3</v>
      </c>
      <c r="M7" s="6" t="s">
        <v>98</v>
      </c>
    </row>
    <row r="8" spans="2:13" ht="18" customHeight="1" x14ac:dyDescent="0.25">
      <c r="B8" s="23" t="str">
        <f>IF(1&gt;nA,"",INDEX(Configuracion!$E$13:$E$20,1))</f>
        <v>Nativas</v>
      </c>
      <c r="C8" s="24">
        <f>IF(1&gt;nA,"",1)</f>
        <v>1</v>
      </c>
      <c r="D8" s="25">
        <v>1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L8" s="22" t="s">
        <v>9</v>
      </c>
      <c r="M8" s="6" t="s">
        <v>99</v>
      </c>
    </row>
    <row r="9" spans="2:13" ht="18" customHeight="1" x14ac:dyDescent="0.25">
      <c r="B9" s="23" t="str">
        <f>IF(2&gt;nA,"",INDEX(Configuracion!$E$13:$E$20,2))</f>
        <v>Multiplataforma</v>
      </c>
      <c r="C9" s="26">
        <f>IF(2&gt;nA,"",IF(D8="","",1/D8))</f>
        <v>1</v>
      </c>
      <c r="D9" s="24">
        <f>IF(2&gt;nA,"",1)</f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L9" s="22" t="s">
        <v>15</v>
      </c>
      <c r="M9" s="6" t="s">
        <v>100</v>
      </c>
    </row>
    <row r="10" spans="2:13" ht="18" customHeight="1" x14ac:dyDescent="0.25">
      <c r="B10" s="23" t="str">
        <f>IF(3&gt;nA,"",INDEX(Configuracion!$E$13:$E$20,3))</f>
        <v>Aplicación web</v>
      </c>
      <c r="C10" s="26">
        <f>IF(3&gt;nA,"",IF(E8="","",1/E8))</f>
        <v>1</v>
      </c>
      <c r="D10" s="26">
        <f>IF(3&gt;nA,"",IF(E9="","",1/E9))</f>
        <v>1</v>
      </c>
      <c r="E10" s="24">
        <f>IF(3&gt;nA,"",1)</f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L10" s="22" t="s">
        <v>33</v>
      </c>
      <c r="M10" s="6" t="s">
        <v>101</v>
      </c>
    </row>
    <row r="11" spans="2:13" ht="18" customHeight="1" x14ac:dyDescent="0.25">
      <c r="B11" s="23" t="str">
        <f>IF(4&gt;nA,"",INDEX(Configuracion!$E$13:$E$20,4))</f>
        <v/>
      </c>
      <c r="C11" s="26" t="str">
        <f>IF(4&gt;nA,"",IF(F8="","",1/F8))</f>
        <v/>
      </c>
      <c r="D11" s="26" t="str">
        <f>IF(4&gt;nA,"",IF(F9="","",1/F9))</f>
        <v/>
      </c>
      <c r="E11" s="26" t="str">
        <f>IF(4&gt;nA,"",IF(F10="","",1/F10))</f>
        <v/>
      </c>
      <c r="F11" s="24" t="str">
        <f>IF(4&gt;nA,"",1)</f>
        <v/>
      </c>
      <c r="G11" s="25">
        <v>1</v>
      </c>
      <c r="H11" s="25">
        <v>1</v>
      </c>
      <c r="I11" s="25">
        <v>1</v>
      </c>
      <c r="J11" s="25">
        <v>1</v>
      </c>
      <c r="L11" s="22" t="s">
        <v>37</v>
      </c>
      <c r="M11" s="6" t="s">
        <v>102</v>
      </c>
    </row>
    <row r="12" spans="2:13" ht="18" customHeight="1" x14ac:dyDescent="0.25">
      <c r="B12" s="23" t="str">
        <f>IF(5&gt;nA,"",INDEX(Configuracion!$E$13:$E$20,5))</f>
        <v/>
      </c>
      <c r="C12" s="26" t="str">
        <f>IF(5&gt;nA,"",IF(G8="","",1/G8))</f>
        <v/>
      </c>
      <c r="D12" s="26" t="str">
        <f>IF(5&gt;nA,"",IF(G9="","",1/G9))</f>
        <v/>
      </c>
      <c r="E12" s="26" t="str">
        <f>IF(5&gt;nA,"",IF(G10="","",1/G10))</f>
        <v/>
      </c>
      <c r="F12" s="26" t="str">
        <f>IF(5&gt;nA,"",IF(G11="","",1/G11))</f>
        <v/>
      </c>
      <c r="G12" s="24" t="str">
        <f>IF(5&gt;nA,"",1)</f>
        <v/>
      </c>
      <c r="H12" s="25">
        <v>1</v>
      </c>
      <c r="I12" s="25">
        <v>1</v>
      </c>
      <c r="J12" s="25">
        <v>1</v>
      </c>
      <c r="L12" s="22" t="s">
        <v>103</v>
      </c>
      <c r="M12" s="6" t="s">
        <v>104</v>
      </c>
    </row>
    <row r="13" spans="2:13" ht="18" customHeight="1" x14ac:dyDescent="0.25">
      <c r="B13" s="23" t="str">
        <f>IF(6&gt;nA,"",INDEX(Configuracion!$E$13:$E$20,6))</f>
        <v/>
      </c>
      <c r="C13" s="26" t="str">
        <f>IF(6&gt;nA,"",IF(H8="","",1/H8))</f>
        <v/>
      </c>
      <c r="D13" s="26" t="str">
        <f>IF(6&gt;nA,"",IF(H9="","",1/H9))</f>
        <v/>
      </c>
      <c r="E13" s="26" t="str">
        <f>IF(6&gt;nA,"",IF(H10="","",1/H10))</f>
        <v/>
      </c>
      <c r="F13" s="26" t="str">
        <f>IF(6&gt;nA,"",IF(H11="","",1/H11))</f>
        <v/>
      </c>
      <c r="G13" s="26" t="str">
        <f>IF(6&gt;nA,"",IF(H12="","",1/H12))</f>
        <v/>
      </c>
      <c r="H13" s="24" t="str">
        <f>IF(6&gt;nA,"",1)</f>
        <v/>
      </c>
      <c r="I13" s="25">
        <v>1</v>
      </c>
      <c r="J13" s="25">
        <v>1</v>
      </c>
      <c r="L13" s="22" t="s">
        <v>105</v>
      </c>
      <c r="M13" s="6" t="s">
        <v>106</v>
      </c>
    </row>
    <row r="14" spans="2:13" ht="18" customHeight="1" x14ac:dyDescent="0.25">
      <c r="B14" s="23" t="str">
        <f>IF(7&gt;nA,"",INDEX(Configuracion!$E$13:$E$20,7))</f>
        <v/>
      </c>
      <c r="C14" s="26" t="str">
        <f>IF(7&gt;nA,"",IF(I8="","",1/I8))</f>
        <v/>
      </c>
      <c r="D14" s="26" t="str">
        <f>IF(7&gt;nA,"",IF(I9="","",1/I9))</f>
        <v/>
      </c>
      <c r="E14" s="26" t="str">
        <f>IF(7&gt;nA,"",IF(I10="","",1/I10))</f>
        <v/>
      </c>
      <c r="F14" s="26" t="str">
        <f>IF(7&gt;nA,"",IF(I11="","",1/I11))</f>
        <v/>
      </c>
      <c r="G14" s="26" t="str">
        <f>IF(7&gt;nA,"",IF(I12="","",1/I12))</f>
        <v/>
      </c>
      <c r="H14" s="26" t="str">
        <f>IF(7&gt;nA,"",IF(I13="","",1/I13))</f>
        <v/>
      </c>
      <c r="I14" s="24" t="str">
        <f>IF(7&gt;nA,"",1)</f>
        <v/>
      </c>
      <c r="J14" s="25">
        <v>1</v>
      </c>
      <c r="L14" s="22" t="s">
        <v>107</v>
      </c>
      <c r="M14" s="6" t="s">
        <v>108</v>
      </c>
    </row>
    <row r="15" spans="2:13" ht="18" customHeight="1" x14ac:dyDescent="0.25">
      <c r="B15" s="23" t="str">
        <f>IF(8&gt;nA,"",INDEX(Configuracion!$E$13:$E$20,8))</f>
        <v/>
      </c>
      <c r="C15" s="26" t="str">
        <f>IF(8&gt;nA,"",IF(J8="","",1/J8))</f>
        <v/>
      </c>
      <c r="D15" s="26" t="str">
        <f>IF(8&gt;nA,"",IF(J9="","",1/J9))</f>
        <v/>
      </c>
      <c r="E15" s="26" t="str">
        <f>IF(8&gt;nA,"",IF(J10="","",1/J10))</f>
        <v/>
      </c>
      <c r="F15" s="26" t="str">
        <f>IF(8&gt;nA,"",IF(J11="","",1/J11))</f>
        <v/>
      </c>
      <c r="G15" s="26" t="str">
        <f>IF(8&gt;nA,"",IF(J12="","",1/J12))</f>
        <v/>
      </c>
      <c r="H15" s="26" t="str">
        <f>IF(8&gt;nA,"",IF(J13="","",1/J13))</f>
        <v/>
      </c>
      <c r="I15" s="26" t="str">
        <f>IF(8&gt;nA,"",IF(J14="","",1/J14))</f>
        <v/>
      </c>
      <c r="J15" s="24" t="str">
        <f>IF(8&gt;nA,"",1)</f>
        <v/>
      </c>
    </row>
    <row r="16" spans="2:13" x14ac:dyDescent="0.25">
      <c r="L16" s="99" t="s">
        <v>109</v>
      </c>
      <c r="M16" s="65"/>
    </row>
    <row r="17" spans="2:13" ht="20.100000000000001" customHeight="1" x14ac:dyDescent="0.25">
      <c r="B17" s="87" t="s">
        <v>110</v>
      </c>
      <c r="C17" s="88"/>
      <c r="D17" s="88"/>
      <c r="E17" s="88"/>
      <c r="F17" s="88"/>
      <c r="G17" s="88"/>
      <c r="H17" s="88"/>
      <c r="I17" s="88"/>
      <c r="J17" s="88"/>
      <c r="L17" s="65"/>
      <c r="M17" s="65"/>
    </row>
    <row r="18" spans="2:13" x14ac:dyDescent="0.25">
      <c r="B18" s="23" t="s">
        <v>111</v>
      </c>
      <c r="C18" s="27">
        <f>IF(1&gt;nA,"",SUM(INDEX(C$8:C$15,1):INDEX(C$8:C$15,nA)))</f>
        <v>3</v>
      </c>
      <c r="D18" s="27">
        <f>IF(2&gt;nA,"",SUM(INDEX(D$8:D$15,1):INDEX(D$8:D$15,nA)))</f>
        <v>3</v>
      </c>
      <c r="E18" s="27">
        <f>IF(3&gt;nA,"",SUM(INDEX(E$8:E$15,1):INDEX(E$8:E$15,nA)))</f>
        <v>3</v>
      </c>
      <c r="F18" s="27" t="str">
        <f>IF(4&gt;nA,"",SUM(INDEX(F$8:F$15,1):INDEX(F$8:F$15,nA)))</f>
        <v/>
      </c>
      <c r="G18" s="27" t="str">
        <f>IF(5&gt;nA,"",SUM(INDEX(G$8:G$15,1):INDEX(G$8:G$15,nA)))</f>
        <v/>
      </c>
      <c r="H18" s="27" t="str">
        <f>IF(6&gt;nA,"",SUM(INDEX(H$8:H$15,1):INDEX(H$8:H$15,nA)))</f>
        <v/>
      </c>
      <c r="I18" s="27" t="str">
        <f>IF(7&gt;nA,"",SUM(INDEX(I$8:I$15,1):INDEX(I$8:I$15,nA)))</f>
        <v/>
      </c>
      <c r="J18" s="27" t="str">
        <f>IF(8&gt;nA,"",SUM(INDEX(J$8:J$15,1):INDEX(J$8:J$15,nA)))</f>
        <v/>
      </c>
      <c r="L18" s="65"/>
      <c r="M18" s="65"/>
    </row>
    <row r="20" spans="2:13" ht="20.100000000000001" customHeight="1" x14ac:dyDescent="0.25">
      <c r="B20" s="87" t="s">
        <v>112</v>
      </c>
      <c r="C20" s="88"/>
      <c r="D20" s="88"/>
      <c r="E20" s="88"/>
      <c r="F20" s="88"/>
      <c r="G20" s="88"/>
      <c r="H20" s="88"/>
      <c r="I20" s="88"/>
      <c r="J20" s="88"/>
    </row>
    <row r="21" spans="2:13" ht="32.1" customHeight="1" x14ac:dyDescent="0.25">
      <c r="B21" s="21" t="s">
        <v>97</v>
      </c>
      <c r="C21" s="21" t="str">
        <f>IF(1&gt;nA,"",INDEX(Configuracion!$E$13:$E$20,1))</f>
        <v>Nativas</v>
      </c>
      <c r="D21" s="21" t="str">
        <f>IF(2&gt;nA,"",INDEX(Configuracion!$E$13:$E$20,2))</f>
        <v>Multiplataforma</v>
      </c>
      <c r="E21" s="21" t="str">
        <f>IF(3&gt;nA,"",INDEX(Configuracion!$E$13:$E$20,3))</f>
        <v>Aplicación web</v>
      </c>
      <c r="F21" s="21" t="str">
        <f>IF(4&gt;nA,"",INDEX(Configuracion!$E$13:$E$20,4))</f>
        <v/>
      </c>
      <c r="G21" s="21" t="str">
        <f>IF(5&gt;nA,"",INDEX(Configuracion!$E$13:$E$20,5))</f>
        <v/>
      </c>
      <c r="H21" s="21" t="str">
        <f>IF(6&gt;nA,"",INDEX(Configuracion!$E$13:$E$20,6))</f>
        <v/>
      </c>
      <c r="I21" s="21" t="str">
        <f>IF(7&gt;nA,"",INDEX(Configuracion!$E$13:$E$20,7))</f>
        <v/>
      </c>
      <c r="J21" s="21" t="str">
        <f>IF(8&gt;nA,"",INDEX(Configuracion!$E$13:$E$20,8))</f>
        <v/>
      </c>
    </row>
    <row r="22" spans="2:13" ht="18" customHeight="1" x14ac:dyDescent="0.25">
      <c r="B22" s="23" t="str">
        <f>IF(1&gt;nA,"",INDEX(Configuracion!$E$13:$E$20,1))</f>
        <v>Nativas</v>
      </c>
      <c r="C22" s="28">
        <f>IF(OR(1&gt;nA,1&gt;nA),"",C8/C$18)</f>
        <v>0.33333333333333331</v>
      </c>
      <c r="D22" s="28">
        <f>IF(OR(1&gt;nA,2&gt;nA),"",D8/D$18)</f>
        <v>0.33333333333333331</v>
      </c>
      <c r="E22" s="28">
        <f>IF(OR(1&gt;nA,3&gt;nA),"",E8/E$18)</f>
        <v>0.33333333333333331</v>
      </c>
      <c r="F22" s="28" t="str">
        <f>IF(OR(1&gt;nA,4&gt;nA),"",F8/F$18)</f>
        <v/>
      </c>
      <c r="G22" s="28" t="str">
        <f>IF(OR(1&gt;nA,5&gt;nA),"",G8/G$18)</f>
        <v/>
      </c>
      <c r="H22" s="28" t="str">
        <f>IF(OR(1&gt;nA,6&gt;nA),"",H8/H$18)</f>
        <v/>
      </c>
      <c r="I22" s="28" t="str">
        <f>IF(OR(1&gt;nA,7&gt;nA),"",I8/I$18)</f>
        <v/>
      </c>
      <c r="J22" s="28" t="str">
        <f>IF(OR(1&gt;nA,8&gt;nA),"",J8/J$18)</f>
        <v/>
      </c>
    </row>
    <row r="23" spans="2:13" ht="18" customHeight="1" x14ac:dyDescent="0.25">
      <c r="B23" s="23" t="str">
        <f>IF(2&gt;nA,"",INDEX(Configuracion!$E$13:$E$20,2))</f>
        <v>Multiplataforma</v>
      </c>
      <c r="C23" s="28">
        <f>IF(OR(2&gt;nA,1&gt;nA),"",C9/C$18)</f>
        <v>0.33333333333333331</v>
      </c>
      <c r="D23" s="28">
        <f>IF(OR(2&gt;nA,2&gt;nA),"",D9/D$18)</f>
        <v>0.33333333333333331</v>
      </c>
      <c r="E23" s="28">
        <f>IF(OR(2&gt;nA,3&gt;nA),"",E9/E$18)</f>
        <v>0.33333333333333331</v>
      </c>
      <c r="F23" s="28" t="str">
        <f>IF(OR(2&gt;nA,4&gt;nA),"",F9/F$18)</f>
        <v/>
      </c>
      <c r="G23" s="28" t="str">
        <f>IF(OR(2&gt;nA,5&gt;nA),"",G9/G$18)</f>
        <v/>
      </c>
      <c r="H23" s="28" t="str">
        <f>IF(OR(2&gt;nA,6&gt;nA),"",H9/H$18)</f>
        <v/>
      </c>
      <c r="I23" s="28" t="str">
        <f>IF(OR(2&gt;nA,7&gt;nA),"",I9/I$18)</f>
        <v/>
      </c>
      <c r="J23" s="28" t="str">
        <f>IF(OR(2&gt;nA,8&gt;nA),"",J9/J$18)</f>
        <v/>
      </c>
    </row>
    <row r="24" spans="2:13" ht="18" customHeight="1" x14ac:dyDescent="0.25">
      <c r="B24" s="23" t="str">
        <f>IF(3&gt;nA,"",INDEX(Configuracion!$E$13:$E$20,3))</f>
        <v>Aplicación web</v>
      </c>
      <c r="C24" s="28">
        <f>IF(OR(3&gt;nA,1&gt;nA),"",C10/C$18)</f>
        <v>0.33333333333333331</v>
      </c>
      <c r="D24" s="28">
        <f>IF(OR(3&gt;nA,2&gt;nA),"",D10/D$18)</f>
        <v>0.33333333333333331</v>
      </c>
      <c r="E24" s="28">
        <f>IF(OR(3&gt;nA,3&gt;nA),"",E10/E$18)</f>
        <v>0.33333333333333331</v>
      </c>
      <c r="F24" s="28" t="str">
        <f>IF(OR(3&gt;nA,4&gt;nA),"",F10/F$18)</f>
        <v/>
      </c>
      <c r="G24" s="28" t="str">
        <f>IF(OR(3&gt;nA,5&gt;nA),"",G10/G$18)</f>
        <v/>
      </c>
      <c r="H24" s="28" t="str">
        <f>IF(OR(3&gt;nA,6&gt;nA),"",H10/H$18)</f>
        <v/>
      </c>
      <c r="I24" s="28" t="str">
        <f>IF(OR(3&gt;nA,7&gt;nA),"",I10/I$18)</f>
        <v/>
      </c>
      <c r="J24" s="28" t="str">
        <f>IF(OR(3&gt;nA,8&gt;nA),"",J10/J$18)</f>
        <v/>
      </c>
    </row>
    <row r="25" spans="2:13" ht="18" customHeight="1" x14ac:dyDescent="0.25">
      <c r="B25" s="23" t="str">
        <f>IF(4&gt;nA,"",INDEX(Configuracion!$E$13:$E$20,4))</f>
        <v/>
      </c>
      <c r="C25" s="28" t="str">
        <f>IF(OR(4&gt;nA,1&gt;nA),"",C11/C$18)</f>
        <v/>
      </c>
      <c r="D25" s="28" t="str">
        <f>IF(OR(4&gt;nA,2&gt;nA),"",D11/D$18)</f>
        <v/>
      </c>
      <c r="E25" s="28" t="str">
        <f>IF(OR(4&gt;nA,3&gt;nA),"",E11/E$18)</f>
        <v/>
      </c>
      <c r="F25" s="28" t="str">
        <f>IF(OR(4&gt;nA,4&gt;nA),"",F11/F$18)</f>
        <v/>
      </c>
      <c r="G25" s="28" t="str">
        <f>IF(OR(4&gt;nA,5&gt;nA),"",G11/G$18)</f>
        <v/>
      </c>
      <c r="H25" s="28" t="str">
        <f>IF(OR(4&gt;nA,6&gt;nA),"",H11/H$18)</f>
        <v/>
      </c>
      <c r="I25" s="28" t="str">
        <f>IF(OR(4&gt;nA,7&gt;nA),"",I11/I$18)</f>
        <v/>
      </c>
      <c r="J25" s="28" t="str">
        <f>IF(OR(4&gt;nA,8&gt;nA),"",J11/J$18)</f>
        <v/>
      </c>
    </row>
    <row r="26" spans="2:13" ht="18" customHeight="1" x14ac:dyDescent="0.25">
      <c r="B26" s="23" t="str">
        <f>IF(5&gt;nA,"",INDEX(Configuracion!$E$13:$E$20,5))</f>
        <v/>
      </c>
      <c r="C26" s="28" t="str">
        <f>IF(OR(5&gt;nA,1&gt;nA),"",C12/C$18)</f>
        <v/>
      </c>
      <c r="D26" s="28" t="str">
        <f>IF(OR(5&gt;nA,2&gt;nA),"",D12/D$18)</f>
        <v/>
      </c>
      <c r="E26" s="28" t="str">
        <f>IF(OR(5&gt;nA,3&gt;nA),"",E12/E$18)</f>
        <v/>
      </c>
      <c r="F26" s="28" t="str">
        <f>IF(OR(5&gt;nA,4&gt;nA),"",F12/F$18)</f>
        <v/>
      </c>
      <c r="G26" s="28" t="str">
        <f>IF(OR(5&gt;nA,5&gt;nA),"",G12/G$18)</f>
        <v/>
      </c>
      <c r="H26" s="28" t="str">
        <f>IF(OR(5&gt;nA,6&gt;nA),"",H12/H$18)</f>
        <v/>
      </c>
      <c r="I26" s="28" t="str">
        <f>IF(OR(5&gt;nA,7&gt;nA),"",I12/I$18)</f>
        <v/>
      </c>
      <c r="J26" s="28" t="str">
        <f>IF(OR(5&gt;nA,8&gt;nA),"",J12/J$18)</f>
        <v/>
      </c>
    </row>
    <row r="27" spans="2:13" ht="18" customHeight="1" x14ac:dyDescent="0.25">
      <c r="B27" s="23" t="str">
        <f>IF(6&gt;nA,"",INDEX(Configuracion!$E$13:$E$20,6))</f>
        <v/>
      </c>
      <c r="C27" s="28" t="str">
        <f>IF(OR(6&gt;nA,1&gt;nA),"",C13/C$18)</f>
        <v/>
      </c>
      <c r="D27" s="28" t="str">
        <f>IF(OR(6&gt;nA,2&gt;nA),"",D13/D$18)</f>
        <v/>
      </c>
      <c r="E27" s="28" t="str">
        <f>IF(OR(6&gt;nA,3&gt;nA),"",E13/E$18)</f>
        <v/>
      </c>
      <c r="F27" s="28" t="str">
        <f>IF(OR(6&gt;nA,4&gt;nA),"",F13/F$18)</f>
        <v/>
      </c>
      <c r="G27" s="28" t="str">
        <f>IF(OR(6&gt;nA,5&gt;nA),"",G13/G$18)</f>
        <v/>
      </c>
      <c r="H27" s="28" t="str">
        <f>IF(OR(6&gt;nA,6&gt;nA),"",H13/H$18)</f>
        <v/>
      </c>
      <c r="I27" s="28" t="str">
        <f>IF(OR(6&gt;nA,7&gt;nA),"",I13/I$18)</f>
        <v/>
      </c>
      <c r="J27" s="28" t="str">
        <f>IF(OR(6&gt;nA,8&gt;nA),"",J13/J$18)</f>
        <v/>
      </c>
    </row>
    <row r="28" spans="2:13" ht="18" customHeight="1" x14ac:dyDescent="0.25">
      <c r="B28" s="23" t="str">
        <f>IF(7&gt;nA,"",INDEX(Configuracion!$E$13:$E$20,7))</f>
        <v/>
      </c>
      <c r="C28" s="28" t="str">
        <f>IF(OR(7&gt;nA,1&gt;nA),"",C14/C$18)</f>
        <v/>
      </c>
      <c r="D28" s="28" t="str">
        <f>IF(OR(7&gt;nA,2&gt;nA),"",D14/D$18)</f>
        <v/>
      </c>
      <c r="E28" s="28" t="str">
        <f>IF(OR(7&gt;nA,3&gt;nA),"",E14/E$18)</f>
        <v/>
      </c>
      <c r="F28" s="28" t="str">
        <f>IF(OR(7&gt;nA,4&gt;nA),"",F14/F$18)</f>
        <v/>
      </c>
      <c r="G28" s="28" t="str">
        <f>IF(OR(7&gt;nA,5&gt;nA),"",G14/G$18)</f>
        <v/>
      </c>
      <c r="H28" s="28" t="str">
        <f>IF(OR(7&gt;nA,6&gt;nA),"",H14/H$18)</f>
        <v/>
      </c>
      <c r="I28" s="28" t="str">
        <f>IF(OR(7&gt;nA,7&gt;nA),"",I14/I$18)</f>
        <v/>
      </c>
      <c r="J28" s="28" t="str">
        <f>IF(OR(7&gt;nA,8&gt;nA),"",J14/J$18)</f>
        <v/>
      </c>
    </row>
    <row r="29" spans="2:13" ht="18" customHeight="1" x14ac:dyDescent="0.25">
      <c r="B29" s="23" t="str">
        <f>IF(8&gt;nA,"",INDEX(Configuracion!$E$13:$E$20,8))</f>
        <v/>
      </c>
      <c r="C29" s="28" t="str">
        <f>IF(OR(8&gt;nA,1&gt;nA),"",C15/C$18)</f>
        <v/>
      </c>
      <c r="D29" s="28" t="str">
        <f>IF(OR(8&gt;nA,2&gt;nA),"",D15/D$18)</f>
        <v/>
      </c>
      <c r="E29" s="28" t="str">
        <f>IF(OR(8&gt;nA,3&gt;nA),"",E15/E$18)</f>
        <v/>
      </c>
      <c r="F29" s="28" t="str">
        <f>IF(OR(8&gt;nA,4&gt;nA),"",F15/F$18)</f>
        <v/>
      </c>
      <c r="G29" s="28" t="str">
        <f>IF(OR(8&gt;nA,5&gt;nA),"",G15/G$18)</f>
        <v/>
      </c>
      <c r="H29" s="28" t="str">
        <f>IF(OR(8&gt;nA,6&gt;nA),"",H15/H$18)</f>
        <v/>
      </c>
      <c r="I29" s="28" t="str">
        <f>IF(OR(8&gt;nA,7&gt;nA),"",I15/I$18)</f>
        <v/>
      </c>
      <c r="J29" s="28" t="str">
        <f>IF(OR(8&gt;nA,8&gt;nA),"",J15/J$18)</f>
        <v/>
      </c>
    </row>
    <row r="31" spans="2:13" ht="20.100000000000001" customHeight="1" x14ac:dyDescent="0.25">
      <c r="B31" s="87" t="s">
        <v>113</v>
      </c>
      <c r="C31" s="88"/>
      <c r="D31" s="88"/>
      <c r="E31" s="88"/>
      <c r="F31" s="88"/>
      <c r="G31" s="88"/>
      <c r="H31" s="88"/>
      <c r="I31" s="88"/>
      <c r="J31" s="88"/>
    </row>
    <row r="32" spans="2:13" x14ac:dyDescent="0.25">
      <c r="B32" s="3" t="s">
        <v>114</v>
      </c>
      <c r="C32" s="3" t="s">
        <v>115</v>
      </c>
      <c r="D32" s="3" t="s">
        <v>116</v>
      </c>
      <c r="E32" s="100" t="s">
        <v>117</v>
      </c>
      <c r="F32" s="101"/>
      <c r="G32" s="101"/>
      <c r="H32" s="101"/>
      <c r="I32" s="101"/>
      <c r="J32" s="101"/>
    </row>
    <row r="33" spans="2:10" ht="18" customHeight="1" x14ac:dyDescent="0.25">
      <c r="B33" s="23" t="str">
        <f>IF(1&gt;nA,"",INDEX(Configuracion!$E$13:$E$20,1))</f>
        <v>Nativas</v>
      </c>
      <c r="C33" s="29">
        <f>IF(1&gt;nA,"",AVERAGE(INDEX($C22:$J22,1):INDEX($C22:$J22,nA)))</f>
        <v>0.33333333333333331</v>
      </c>
      <c r="D33" s="30">
        <f>IF(1&gt;nA,"",C33)</f>
        <v>0.33333333333333331</v>
      </c>
      <c r="E33" s="98" t="str">
        <f>IF(1&gt;nA,"","De cada 100 puntos de importancia, este se lleva "&amp;TEXT(C33*100,"0,0")&amp;".")</f>
        <v>De cada 100 puntos de importancia, este se lleva 33.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IF(2&gt;nA,"",INDEX(Configuracion!$E$13:$E$20,2))</f>
        <v>Multiplataforma</v>
      </c>
      <c r="C34" s="29">
        <f>IF(2&gt;nA,"",AVERAGE(INDEX($C23:$J23,1):INDEX($C23:$J23,nA)))</f>
        <v>0.33333333333333331</v>
      </c>
      <c r="D34" s="30">
        <f>IF(2&gt;nA,"",C34)</f>
        <v>0.33333333333333331</v>
      </c>
      <c r="E34" s="98" t="str">
        <f>IF(2&gt;nA,"","De cada 100 puntos de importancia, este se lleva "&amp;TEXT(C34*100,"0,0")&amp;".")</f>
        <v>De cada 100 puntos de importancia, este se lleva 33.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IF(3&gt;nA,"",INDEX(Configuracion!$E$13:$E$20,3))</f>
        <v>Aplicación web</v>
      </c>
      <c r="C35" s="29">
        <f>IF(3&gt;nA,"",AVERAGE(INDEX($C24:$J24,1):INDEX($C24:$J24,nA)))</f>
        <v>0.33333333333333331</v>
      </c>
      <c r="D35" s="30">
        <f>IF(3&gt;nA,"",C35)</f>
        <v>0.33333333333333331</v>
      </c>
      <c r="E35" s="98" t="str">
        <f>IF(3&gt;nA,"","De cada 100 puntos de importancia, este se lleva "&amp;TEXT(C35*100,"0,0")&amp;".")</f>
        <v>De cada 100 puntos de importancia, este se lleva 33.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IF(4&gt;nA,"",INDEX(Configuracion!$E$13:$E$20,4))</f>
        <v/>
      </c>
      <c r="C36" s="29" t="str">
        <f>IF(4&gt;nA,"",AVERAGE(INDEX($C25:$J25,1):INDEX($C25:$J25,nA)))</f>
        <v/>
      </c>
      <c r="D36" s="30" t="str">
        <f>IF(4&gt;nA,"",C36)</f>
        <v/>
      </c>
      <c r="E36" s="98" t="str">
        <f>IF(4&gt;nA,"","De cada 100 puntos de importancia, este se lleva "&amp;TEXT(C36*100,"0,0")&amp;".")</f>
        <v/>
      </c>
      <c r="F36" s="63"/>
      <c r="G36" s="63"/>
      <c r="H36" s="63"/>
      <c r="I36" s="63"/>
      <c r="J36" s="63"/>
    </row>
    <row r="37" spans="2:10" ht="18" customHeight="1" x14ac:dyDescent="0.25">
      <c r="B37" s="23" t="str">
        <f>IF(5&gt;nA,"",INDEX(Configuracion!$E$13:$E$20,5))</f>
        <v/>
      </c>
      <c r="C37" s="29" t="str">
        <f>IF(5&gt;nA,"",AVERAGE(INDEX($C26:$J26,1):INDEX($C26:$J26,nA)))</f>
        <v/>
      </c>
      <c r="D37" s="30" t="str">
        <f>IF(5&gt;nA,"",C37)</f>
        <v/>
      </c>
      <c r="E37" s="98" t="str">
        <f>IF(5&gt;nA,"","De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IF(6&gt;nA,"",INDEX(Configuracion!$E$13:$E$20,6))</f>
        <v/>
      </c>
      <c r="C38" s="29" t="str">
        <f>IF(6&gt;nA,"",AVERAGE(INDEX($C27:$J27,1):INDEX($C27:$J27,nA)))</f>
        <v/>
      </c>
      <c r="D38" s="30" t="str">
        <f>IF(6&gt;nA,"",C38)</f>
        <v/>
      </c>
      <c r="E38" s="98" t="str">
        <f>IF(6&gt;nA,"","De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IF(7&gt;nA,"",INDEX(Configuracion!$E$13:$E$20,7))</f>
        <v/>
      </c>
      <c r="C39" s="29" t="str">
        <f>IF(7&gt;nA,"",AVERAGE(INDEX($C28:$J28,1):INDEX($C28:$J28,nA)))</f>
        <v/>
      </c>
      <c r="D39" s="30" t="str">
        <f>IF(7&gt;nA,"",C39)</f>
        <v/>
      </c>
      <c r="E39" s="98" t="str">
        <f>IF(7&gt;nA,"","De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ht="18" customHeight="1" x14ac:dyDescent="0.25">
      <c r="B40" s="23" t="str">
        <f>IF(8&gt;nA,"",INDEX(Configuracion!$E$13:$E$20,8))</f>
        <v/>
      </c>
      <c r="C40" s="29" t="str">
        <f>IF(8&gt;nA,"",AVERAGE(INDEX($C29:$J29,1):INDEX($C29:$J29,nA)))</f>
        <v/>
      </c>
      <c r="D40" s="30" t="str">
        <f>IF(8&gt;nA,"",C40)</f>
        <v/>
      </c>
      <c r="E40" s="98" t="str">
        <f>IF(8&gt;nA,"","De cada 100 puntos de importancia, este se lleva "&amp;TEXT(C40*100,"0,0")&amp;".")</f>
        <v/>
      </c>
      <c r="F40" s="63"/>
      <c r="G40" s="63"/>
      <c r="H40" s="63"/>
      <c r="I40" s="63"/>
      <c r="J40" s="63"/>
    </row>
    <row r="41" spans="2:10" x14ac:dyDescent="0.25">
      <c r="B41" s="31" t="s">
        <v>118</v>
      </c>
      <c r="C41" s="32">
        <f>SUM(INDEX($C$33:$C$40,1):INDEX($C$33:$C$40,nA))</f>
        <v>1</v>
      </c>
    </row>
    <row r="43" spans="2:10" x14ac:dyDescent="0.25">
      <c r="B43" s="33" t="s">
        <v>119</v>
      </c>
      <c r="C43" s="34">
        <f>IF(1&gt;nA,"",$C$33)</f>
        <v>0.33333333333333331</v>
      </c>
      <c r="D43" s="34">
        <f>IF(2&gt;nA,"",$C$34)</f>
        <v>0.33333333333333331</v>
      </c>
      <c r="E43" s="34">
        <f>IF(3&gt;nA,"",$C$35)</f>
        <v>0.33333333333333331</v>
      </c>
      <c r="F43" s="34" t="str">
        <f>IF(4&gt;nA,"",$C$36)</f>
        <v/>
      </c>
      <c r="G43" s="34" t="str">
        <f>IF(5&gt;nA,"",$C$37)</f>
        <v/>
      </c>
      <c r="H43" s="34" t="str">
        <f>IF(6&gt;nA,"",$C$38)</f>
        <v/>
      </c>
      <c r="I43" s="34" t="str">
        <f>IF(7&gt;nA,"",$C$39)</f>
        <v/>
      </c>
      <c r="J43" s="34" t="str">
        <f>IF(8&gt;nA,"",$C$40)</f>
        <v/>
      </c>
    </row>
    <row r="45" spans="2:10" ht="20.100000000000001" customHeight="1" x14ac:dyDescent="0.25">
      <c r="B45" s="87" t="s">
        <v>120</v>
      </c>
      <c r="C45" s="88"/>
      <c r="D45" s="88"/>
      <c r="E45" s="88"/>
      <c r="F45" s="88"/>
      <c r="G45" s="88"/>
      <c r="H45" s="88"/>
      <c r="I45" s="88"/>
      <c r="J45" s="88"/>
    </row>
    <row r="46" spans="2:10" ht="27.95" customHeight="1" x14ac:dyDescent="0.25">
      <c r="B46" s="35" t="s">
        <v>114</v>
      </c>
      <c r="C46" s="35" t="s">
        <v>121</v>
      </c>
      <c r="D46" s="35" t="s">
        <v>115</v>
      </c>
      <c r="E46" s="35" t="s">
        <v>122</v>
      </c>
    </row>
    <row r="47" spans="2:10" ht="18" customHeight="1" x14ac:dyDescent="0.25">
      <c r="B47" s="23" t="str">
        <f>IF(1&gt;nA,"",INDEX(Configuracion!$E$13:$E$20,1))</f>
        <v>Nativas</v>
      </c>
      <c r="C47" s="28">
        <f>IF(1&gt;nA,"",SUMPRODUCT(INDEX($C8:$J8,1):INDEX($C8:$J8,nA),INDEX($C$43:$J$43,1):INDEX($C$43:$J$43,nA)))</f>
        <v>1</v>
      </c>
      <c r="D47" s="28">
        <f>IF(1&gt;nA,"",$C$33)</f>
        <v>0.33333333333333331</v>
      </c>
      <c r="E47" s="36">
        <f>IF(1&gt;nA,"",C47/D47)</f>
        <v>3</v>
      </c>
    </row>
    <row r="48" spans="2:10" ht="18" customHeight="1" x14ac:dyDescent="0.25">
      <c r="B48" s="23" t="str">
        <f>IF(2&gt;nA,"",INDEX(Configuracion!$E$13:$E$20,2))</f>
        <v>Multiplataforma</v>
      </c>
      <c r="C48" s="28">
        <f>IF(2&gt;nA,"",SUMPRODUCT(INDEX($C9:$J9,1):INDEX($C9:$J9,nA),INDEX($C$43:$J$43,1):INDEX($C$43:$J$43,nA)))</f>
        <v>1</v>
      </c>
      <c r="D48" s="28">
        <f>IF(2&gt;nA,"",$C$34)</f>
        <v>0.33333333333333331</v>
      </c>
      <c r="E48" s="36">
        <f>IF(2&gt;nA,"",C48/D48)</f>
        <v>3</v>
      </c>
    </row>
    <row r="49" spans="2:10" ht="18" customHeight="1" x14ac:dyDescent="0.25">
      <c r="B49" s="23" t="str">
        <f>IF(3&gt;nA,"",INDEX(Configuracion!$E$13:$E$20,3))</f>
        <v>Aplicación web</v>
      </c>
      <c r="C49" s="28">
        <f>IF(3&gt;nA,"",SUMPRODUCT(INDEX($C10:$J10,1):INDEX($C10:$J10,nA),INDEX($C$43:$J$43,1):INDEX($C$43:$J$43,nA)))</f>
        <v>1</v>
      </c>
      <c r="D49" s="28">
        <f>IF(3&gt;nA,"",$C$35)</f>
        <v>0.33333333333333331</v>
      </c>
      <c r="E49" s="36">
        <f>IF(3&gt;nA,"",C49/D49)</f>
        <v>3</v>
      </c>
    </row>
    <row r="50" spans="2:10" ht="18" customHeight="1" x14ac:dyDescent="0.25">
      <c r="B50" s="23" t="str">
        <f>IF(4&gt;nA,"",INDEX(Configuracion!$E$13:$E$20,4))</f>
        <v/>
      </c>
      <c r="C50" s="28" t="str">
        <f>IF(4&gt;nA,"",SUMPRODUCT(INDEX($C11:$J11,1):INDEX($C11:$J11,nA),INDEX($C$43:$J$43,1):INDEX($C$43:$J$43,nA)))</f>
        <v/>
      </c>
      <c r="D50" s="28" t="str">
        <f>IF(4&gt;nA,"",$C$36)</f>
        <v/>
      </c>
      <c r="E50" s="36" t="str">
        <f>IF(4&gt;nA,"",C50/D50)</f>
        <v/>
      </c>
    </row>
    <row r="51" spans="2:10" ht="18" customHeight="1" x14ac:dyDescent="0.25">
      <c r="B51" s="23" t="str">
        <f>IF(5&gt;nA,"",INDEX(Configuracion!$E$13:$E$20,5))</f>
        <v/>
      </c>
      <c r="C51" s="28" t="str">
        <f>IF(5&gt;nA,"",SUMPRODUCT(INDEX($C12:$J12,1):INDEX($C12:$J12,nA),INDEX($C$43:$J$43,1):INDEX($C$43:$J$43,nA)))</f>
        <v/>
      </c>
      <c r="D51" s="28" t="str">
        <f>IF(5&gt;nA,"",$C$37)</f>
        <v/>
      </c>
      <c r="E51" s="36" t="str">
        <f>IF(5&gt;nA,"",C51/D51)</f>
        <v/>
      </c>
    </row>
    <row r="52" spans="2:10" ht="18" customHeight="1" x14ac:dyDescent="0.25">
      <c r="B52" s="23" t="str">
        <f>IF(6&gt;nA,"",INDEX(Configuracion!$E$13:$E$20,6))</f>
        <v/>
      </c>
      <c r="C52" s="28" t="str">
        <f>IF(6&gt;nA,"",SUMPRODUCT(INDEX($C13:$J13,1):INDEX($C13:$J13,nA),INDEX($C$43:$J$43,1):INDEX($C$43:$J$43,nA)))</f>
        <v/>
      </c>
      <c r="D52" s="28" t="str">
        <f>IF(6&gt;nA,"",$C$38)</f>
        <v/>
      </c>
      <c r="E52" s="36" t="str">
        <f>IF(6&gt;nA,"",C52/D52)</f>
        <v/>
      </c>
    </row>
    <row r="53" spans="2:10" ht="18" customHeight="1" x14ac:dyDescent="0.25">
      <c r="B53" s="23" t="str">
        <f>IF(7&gt;nA,"",INDEX(Configuracion!$E$13:$E$20,7))</f>
        <v/>
      </c>
      <c r="C53" s="28" t="str">
        <f>IF(7&gt;nA,"",SUMPRODUCT(INDEX($C14:$J14,1):INDEX($C14:$J14,nA),INDEX($C$43:$J$43,1):INDEX($C$43:$J$43,nA)))</f>
        <v/>
      </c>
      <c r="D53" s="28" t="str">
        <f>IF(7&gt;nA,"",$C$39)</f>
        <v/>
      </c>
      <c r="E53" s="36" t="str">
        <f>IF(7&gt;nA,"",C53/D53)</f>
        <v/>
      </c>
    </row>
    <row r="54" spans="2:10" ht="18" customHeight="1" x14ac:dyDescent="0.25">
      <c r="B54" s="23" t="str">
        <f>IF(8&gt;nA,"",INDEX(Configuracion!$E$13:$E$20,8))</f>
        <v/>
      </c>
      <c r="C54" s="28" t="str">
        <f>IF(8&gt;nA,"",SUMPRODUCT(INDEX($C15:$J15,1):INDEX($C15:$J15,nA),INDEX($C$43:$J$43,1):INDEX($C$43:$J$43,nA)))</f>
        <v/>
      </c>
      <c r="D54" s="28" t="str">
        <f>IF(8&gt;nA,"",$C$40)</f>
        <v/>
      </c>
      <c r="E54" s="36" t="str">
        <f>IF(8&gt;nA,"",C54/D54)</f>
        <v/>
      </c>
    </row>
    <row r="56" spans="2:10" ht="20.100000000000001" customHeight="1" x14ac:dyDescent="0.25">
      <c r="B56" s="85" t="s">
        <v>123</v>
      </c>
      <c r="C56" s="86"/>
      <c r="D56" s="86"/>
      <c r="E56" s="86"/>
      <c r="F56" s="86"/>
      <c r="G56" s="86"/>
      <c r="H56" s="86"/>
      <c r="I56" s="86"/>
      <c r="J56" s="86"/>
    </row>
    <row r="57" spans="2:10" x14ac:dyDescent="0.25">
      <c r="B57" s="37" t="s">
        <v>124</v>
      </c>
      <c r="C57" s="38">
        <f>AVERAGE(INDEX($E$47:$E$54,1):INDEX($E$47:$E$54,nA))</f>
        <v>3</v>
      </c>
    </row>
    <row r="58" spans="2:10" x14ac:dyDescent="0.25">
      <c r="B58" s="37" t="s">
        <v>125</v>
      </c>
      <c r="C58" s="39">
        <f>nA</f>
        <v>3</v>
      </c>
    </row>
    <row r="59" spans="2:10" x14ac:dyDescent="0.25">
      <c r="B59" s="37" t="s">
        <v>126</v>
      </c>
      <c r="C59" s="38">
        <f>IF(nA&lt;2,0,(C57-C58)/(C58-1))</f>
        <v>0</v>
      </c>
    </row>
    <row r="60" spans="2:10" x14ac:dyDescent="0.25">
      <c r="B60" s="37" t="s">
        <v>127</v>
      </c>
      <c r="C60" s="40">
        <f>INDEX(RI_tabla,nA)</f>
        <v>0.57999999999999996</v>
      </c>
    </row>
    <row r="61" spans="2:10" ht="15.75" x14ac:dyDescent="0.25">
      <c r="B61" s="41" t="s">
        <v>128</v>
      </c>
      <c r="C61" s="42">
        <f>IF(nA&lt;3,0,IF(C60=0,0,C59/C60))</f>
        <v>0</v>
      </c>
    </row>
    <row r="62" spans="2:10" ht="26.1" customHeight="1" x14ac:dyDescent="0.25">
      <c r="B62" s="43" t="s">
        <v>129</v>
      </c>
      <c r="C62" s="44">
        <f>C61</f>
        <v>0</v>
      </c>
      <c r="D62" s="97" t="str">
        <f>IF(C61&lt;=0.1,"ACEPTABLE  ·  puedes seguir",IF(C61&lt;=0.2,"DUDOSO  ·  revisa las comparaciones mas extremas","RECHAZADO  ·  hay que reevaluar esta matriz"))</f>
        <v>ACEPTABLE  ·  puedes seguir</v>
      </c>
      <c r="E62" s="63"/>
      <c r="F62" s="63"/>
      <c r="G62" s="63"/>
      <c r="H62" s="63"/>
      <c r="I62" s="63"/>
      <c r="J62" s="63"/>
    </row>
    <row r="64" spans="2:10" ht="30" customHeight="1" x14ac:dyDescent="0.25">
      <c r="B64" s="64" t="str">
        <f>IF(C61&lt;=0.1,"Tus juicios son coherentes. Los pesos del PASO 4 se pueden usar.","Busca en la matriz del PASO 1 el numero mas extremo (un 7 o un 9) y preguntate si de verdad es para tanto. Bajalo un escalon y vuelve a mirar el CR.")</f>
        <v>Tus juicios son coherentes. Los pesos del PASO 4 se pueden usar.</v>
      </c>
      <c r="C64" s="65"/>
      <c r="D64" s="65"/>
      <c r="E64" s="65"/>
      <c r="F64" s="65"/>
      <c r="G64" s="65"/>
      <c r="H64" s="65"/>
      <c r="I64" s="65"/>
      <c r="J64" s="65"/>
    </row>
  </sheetData>
  <mergeCells count="21">
    <mergeCell ref="L16:M18"/>
    <mergeCell ref="E36:J36"/>
    <mergeCell ref="E39:J39"/>
    <mergeCell ref="E35:J35"/>
    <mergeCell ref="E38:J38"/>
    <mergeCell ref="B64:J64"/>
    <mergeCell ref="E32:J32"/>
    <mergeCell ref="B20:J20"/>
    <mergeCell ref="B45:J45"/>
    <mergeCell ref="E37:J37"/>
    <mergeCell ref="B56:J56"/>
    <mergeCell ref="D62:J62"/>
    <mergeCell ref="E40:J40"/>
    <mergeCell ref="E34:J34"/>
    <mergeCell ref="B2:J2"/>
    <mergeCell ref="B4:J4"/>
    <mergeCell ref="E33:J33"/>
    <mergeCell ref="B3:J3"/>
    <mergeCell ref="B31:J31"/>
    <mergeCell ref="B6:J6"/>
    <mergeCell ref="B17:J17"/>
  </mergeCells>
  <conditionalFormatting sqref="B47:E54">
    <cfRule type="expression" dxfId="46" priority="5">
      <formula>ROW()-46&gt;nA</formula>
    </cfRule>
  </conditionalFormatting>
  <conditionalFormatting sqref="B4:J4">
    <cfRule type="expression" dxfId="45" priority="1">
      <formula>7&gt;nC</formula>
    </cfRule>
  </conditionalFormatting>
  <conditionalFormatting sqref="B8:J15">
    <cfRule type="expression" dxfId="44" priority="2">
      <formula>OR(ROW()-7&gt;nA,COLUMN()-2&gt;nA)</formula>
    </cfRule>
  </conditionalFormatting>
  <conditionalFormatting sqref="B22:J29">
    <cfRule type="expression" dxfId="43" priority="3">
      <formula>OR(ROW()-21&gt;nA,COLUMN()-2&gt;nA)</formula>
    </cfRule>
  </conditionalFormatting>
  <conditionalFormatting sqref="B33:J40">
    <cfRule type="expression" dxfId="42" priority="4">
      <formula>ROW()-32&gt;nA</formula>
    </cfRule>
  </conditionalFormatting>
  <conditionalFormatting sqref="C62:J62">
    <cfRule type="expression" dxfId="41" priority="6">
      <formula>$C$61&lt;=0.1</formula>
    </cfRule>
    <cfRule type="expression" dxfId="40" priority="7">
      <formula>AND($C$61&gt;0.1,$C$61&lt;=0.2)</formula>
    </cfRule>
    <cfRule type="expression" dxfId="39" priority="8">
      <formula>$C$61&gt;0.2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8:J15" xr:uid="{00000000-0002-0000-09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B8A7D"/>
    <pageSetUpPr fitToPage="1"/>
  </sheetPr>
  <dimension ref="B2:M64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1" customWidth="1"/>
    <col min="11" max="11" width="3" customWidth="1"/>
    <col min="12" max="12" width="8" customWidth="1"/>
    <col min="13" max="13" width="30" customWidth="1"/>
  </cols>
  <sheetData>
    <row r="2" spans="2:13" ht="26.1" customHeight="1" x14ac:dyDescent="0.25">
      <c r="B2" s="60" t="s">
        <v>138</v>
      </c>
      <c r="C2" s="61"/>
      <c r="D2" s="61"/>
      <c r="E2" s="61"/>
      <c r="F2" s="61"/>
      <c r="G2" s="61"/>
      <c r="H2" s="61"/>
      <c r="I2" s="61"/>
      <c r="J2" s="61"/>
    </row>
    <row r="3" spans="2:13" ht="30" customHeight="1" x14ac:dyDescent="0.25">
      <c r="B3" s="67" t="s">
        <v>131</v>
      </c>
      <c r="C3" s="65"/>
      <c r="D3" s="65"/>
      <c r="E3" s="65"/>
      <c r="F3" s="65"/>
      <c r="G3" s="65"/>
      <c r="H3" s="65"/>
      <c r="I3" s="65"/>
      <c r="J3" s="65"/>
    </row>
    <row r="4" spans="2:13" ht="21.95" customHeight="1" x14ac:dyDescent="0.25">
      <c r="B4" s="102" t="str">
        <f>IF(8&gt;nC,"ESTA HOJA NO SE USA (solo definiste "&amp;nC&amp;" criterios)","Criterio 8: "&amp;INDEX(Configuracion!$C$13:$C$20,8))</f>
        <v>ESTA HOJA NO SE USA (solo definiste 5 criterios)</v>
      </c>
      <c r="C4" s="72"/>
      <c r="D4" s="72"/>
      <c r="E4" s="72"/>
      <c r="F4" s="72"/>
      <c r="G4" s="72"/>
      <c r="H4" s="72"/>
      <c r="I4" s="72"/>
      <c r="J4" s="72"/>
    </row>
    <row r="6" spans="2:13" ht="20.100000000000001" customHeight="1" x14ac:dyDescent="0.25">
      <c r="B6" s="87" t="s">
        <v>94</v>
      </c>
      <c r="C6" s="88"/>
      <c r="D6" s="88"/>
      <c r="E6" s="88"/>
      <c r="F6" s="88"/>
      <c r="G6" s="88"/>
      <c r="H6" s="88"/>
      <c r="I6" s="88"/>
      <c r="J6" s="88"/>
      <c r="L6" s="19" t="s">
        <v>95</v>
      </c>
      <c r="M6" s="20" t="s">
        <v>96</v>
      </c>
    </row>
    <row r="7" spans="2:13" ht="32.1" customHeight="1" x14ac:dyDescent="0.25">
      <c r="B7" s="21" t="s">
        <v>97</v>
      </c>
      <c r="C7" s="21" t="str">
        <f>IF(1&gt;nA,"",INDEX(Configuracion!$E$13:$E$20,1))</f>
        <v>Nativas</v>
      </c>
      <c r="D7" s="21" t="str">
        <f>IF(2&gt;nA,"",INDEX(Configuracion!$E$13:$E$20,2))</f>
        <v>Multiplataforma</v>
      </c>
      <c r="E7" s="21" t="str">
        <f>IF(3&gt;nA,"",INDEX(Configuracion!$E$13:$E$20,3))</f>
        <v>Aplicación web</v>
      </c>
      <c r="F7" s="21" t="str">
        <f>IF(4&gt;nA,"",INDEX(Configuracion!$E$13:$E$20,4))</f>
        <v/>
      </c>
      <c r="G7" s="21" t="str">
        <f>IF(5&gt;nA,"",INDEX(Configuracion!$E$13:$E$20,5))</f>
        <v/>
      </c>
      <c r="H7" s="21" t="str">
        <f>IF(6&gt;nA,"",INDEX(Configuracion!$E$13:$E$20,6))</f>
        <v/>
      </c>
      <c r="I7" s="21" t="str">
        <f>IF(7&gt;nA,"",INDEX(Configuracion!$E$13:$E$20,7))</f>
        <v/>
      </c>
      <c r="J7" s="21" t="str">
        <f>IF(8&gt;nA,"",INDEX(Configuracion!$E$13:$E$20,8))</f>
        <v/>
      </c>
      <c r="L7" s="22" t="s">
        <v>3</v>
      </c>
      <c r="M7" s="6" t="s">
        <v>98</v>
      </c>
    </row>
    <row r="8" spans="2:13" ht="18" customHeight="1" x14ac:dyDescent="0.25">
      <c r="B8" s="23" t="str">
        <f>IF(1&gt;nA,"",INDEX(Configuracion!$E$13:$E$20,1))</f>
        <v>Nativas</v>
      </c>
      <c r="C8" s="24">
        <f>IF(1&gt;nA,"",1)</f>
        <v>1</v>
      </c>
      <c r="D8" s="25">
        <v>1</v>
      </c>
      <c r="E8" s="25">
        <v>1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L8" s="22" t="s">
        <v>9</v>
      </c>
      <c r="M8" s="6" t="s">
        <v>99</v>
      </c>
    </row>
    <row r="9" spans="2:13" ht="18" customHeight="1" x14ac:dyDescent="0.25">
      <c r="B9" s="23" t="str">
        <f>IF(2&gt;nA,"",INDEX(Configuracion!$E$13:$E$20,2))</f>
        <v>Multiplataforma</v>
      </c>
      <c r="C9" s="26">
        <f>IF(2&gt;nA,"",IF(D8="","",1/D8))</f>
        <v>1</v>
      </c>
      <c r="D9" s="24">
        <f>IF(2&gt;nA,"",1)</f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L9" s="22" t="s">
        <v>15</v>
      </c>
      <c r="M9" s="6" t="s">
        <v>100</v>
      </c>
    </row>
    <row r="10" spans="2:13" ht="18" customHeight="1" x14ac:dyDescent="0.25">
      <c r="B10" s="23" t="str">
        <f>IF(3&gt;nA,"",INDEX(Configuracion!$E$13:$E$20,3))</f>
        <v>Aplicación web</v>
      </c>
      <c r="C10" s="26">
        <f>IF(3&gt;nA,"",IF(E8="","",1/E8))</f>
        <v>1</v>
      </c>
      <c r="D10" s="26">
        <f>IF(3&gt;nA,"",IF(E9="","",1/E9))</f>
        <v>1</v>
      </c>
      <c r="E10" s="24">
        <f>IF(3&gt;nA,"",1)</f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L10" s="22" t="s">
        <v>33</v>
      </c>
      <c r="M10" s="6" t="s">
        <v>101</v>
      </c>
    </row>
    <row r="11" spans="2:13" ht="18" customHeight="1" x14ac:dyDescent="0.25">
      <c r="B11" s="23" t="str">
        <f>IF(4&gt;nA,"",INDEX(Configuracion!$E$13:$E$20,4))</f>
        <v/>
      </c>
      <c r="C11" s="26" t="str">
        <f>IF(4&gt;nA,"",IF(F8="","",1/F8))</f>
        <v/>
      </c>
      <c r="D11" s="26" t="str">
        <f>IF(4&gt;nA,"",IF(F9="","",1/F9))</f>
        <v/>
      </c>
      <c r="E11" s="26" t="str">
        <f>IF(4&gt;nA,"",IF(F10="","",1/F10))</f>
        <v/>
      </c>
      <c r="F11" s="24" t="str">
        <f>IF(4&gt;nA,"",1)</f>
        <v/>
      </c>
      <c r="G11" s="25">
        <v>1</v>
      </c>
      <c r="H11" s="25">
        <v>1</v>
      </c>
      <c r="I11" s="25">
        <v>1</v>
      </c>
      <c r="J11" s="25">
        <v>1</v>
      </c>
      <c r="L11" s="22" t="s">
        <v>37</v>
      </c>
      <c r="M11" s="6" t="s">
        <v>102</v>
      </c>
    </row>
    <row r="12" spans="2:13" ht="18" customHeight="1" x14ac:dyDescent="0.25">
      <c r="B12" s="23" t="str">
        <f>IF(5&gt;nA,"",INDEX(Configuracion!$E$13:$E$20,5))</f>
        <v/>
      </c>
      <c r="C12" s="26" t="str">
        <f>IF(5&gt;nA,"",IF(G8="","",1/G8))</f>
        <v/>
      </c>
      <c r="D12" s="26" t="str">
        <f>IF(5&gt;nA,"",IF(G9="","",1/G9))</f>
        <v/>
      </c>
      <c r="E12" s="26" t="str">
        <f>IF(5&gt;nA,"",IF(G10="","",1/G10))</f>
        <v/>
      </c>
      <c r="F12" s="26" t="str">
        <f>IF(5&gt;nA,"",IF(G11="","",1/G11))</f>
        <v/>
      </c>
      <c r="G12" s="24" t="str">
        <f>IF(5&gt;nA,"",1)</f>
        <v/>
      </c>
      <c r="H12" s="25">
        <v>1</v>
      </c>
      <c r="I12" s="25">
        <v>1</v>
      </c>
      <c r="J12" s="25">
        <v>1</v>
      </c>
      <c r="L12" s="22" t="s">
        <v>103</v>
      </c>
      <c r="M12" s="6" t="s">
        <v>104</v>
      </c>
    </row>
    <row r="13" spans="2:13" ht="18" customHeight="1" x14ac:dyDescent="0.25">
      <c r="B13" s="23" t="str">
        <f>IF(6&gt;nA,"",INDEX(Configuracion!$E$13:$E$20,6))</f>
        <v/>
      </c>
      <c r="C13" s="26" t="str">
        <f>IF(6&gt;nA,"",IF(H8="","",1/H8))</f>
        <v/>
      </c>
      <c r="D13" s="26" t="str">
        <f>IF(6&gt;nA,"",IF(H9="","",1/H9))</f>
        <v/>
      </c>
      <c r="E13" s="26" t="str">
        <f>IF(6&gt;nA,"",IF(H10="","",1/H10))</f>
        <v/>
      </c>
      <c r="F13" s="26" t="str">
        <f>IF(6&gt;nA,"",IF(H11="","",1/H11))</f>
        <v/>
      </c>
      <c r="G13" s="26" t="str">
        <f>IF(6&gt;nA,"",IF(H12="","",1/H12))</f>
        <v/>
      </c>
      <c r="H13" s="24" t="str">
        <f>IF(6&gt;nA,"",1)</f>
        <v/>
      </c>
      <c r="I13" s="25">
        <v>1</v>
      </c>
      <c r="J13" s="25">
        <v>1</v>
      </c>
      <c r="L13" s="22" t="s">
        <v>105</v>
      </c>
      <c r="M13" s="6" t="s">
        <v>106</v>
      </c>
    </row>
    <row r="14" spans="2:13" ht="18" customHeight="1" x14ac:dyDescent="0.25">
      <c r="B14" s="23" t="str">
        <f>IF(7&gt;nA,"",INDEX(Configuracion!$E$13:$E$20,7))</f>
        <v/>
      </c>
      <c r="C14" s="26" t="str">
        <f>IF(7&gt;nA,"",IF(I8="","",1/I8))</f>
        <v/>
      </c>
      <c r="D14" s="26" t="str">
        <f>IF(7&gt;nA,"",IF(I9="","",1/I9))</f>
        <v/>
      </c>
      <c r="E14" s="26" t="str">
        <f>IF(7&gt;nA,"",IF(I10="","",1/I10))</f>
        <v/>
      </c>
      <c r="F14" s="26" t="str">
        <f>IF(7&gt;nA,"",IF(I11="","",1/I11))</f>
        <v/>
      </c>
      <c r="G14" s="26" t="str">
        <f>IF(7&gt;nA,"",IF(I12="","",1/I12))</f>
        <v/>
      </c>
      <c r="H14" s="26" t="str">
        <f>IF(7&gt;nA,"",IF(I13="","",1/I13))</f>
        <v/>
      </c>
      <c r="I14" s="24" t="str">
        <f>IF(7&gt;nA,"",1)</f>
        <v/>
      </c>
      <c r="J14" s="25">
        <v>1</v>
      </c>
      <c r="L14" s="22" t="s">
        <v>107</v>
      </c>
      <c r="M14" s="6" t="s">
        <v>108</v>
      </c>
    </row>
    <row r="15" spans="2:13" ht="18" customHeight="1" x14ac:dyDescent="0.25">
      <c r="B15" s="23" t="str">
        <f>IF(8&gt;nA,"",INDEX(Configuracion!$E$13:$E$20,8))</f>
        <v/>
      </c>
      <c r="C15" s="26" t="str">
        <f>IF(8&gt;nA,"",IF(J8="","",1/J8))</f>
        <v/>
      </c>
      <c r="D15" s="26" t="str">
        <f>IF(8&gt;nA,"",IF(J9="","",1/J9))</f>
        <v/>
      </c>
      <c r="E15" s="26" t="str">
        <f>IF(8&gt;nA,"",IF(J10="","",1/J10))</f>
        <v/>
      </c>
      <c r="F15" s="26" t="str">
        <f>IF(8&gt;nA,"",IF(J11="","",1/J11))</f>
        <v/>
      </c>
      <c r="G15" s="26" t="str">
        <f>IF(8&gt;nA,"",IF(J12="","",1/J12))</f>
        <v/>
      </c>
      <c r="H15" s="26" t="str">
        <f>IF(8&gt;nA,"",IF(J13="","",1/J13))</f>
        <v/>
      </c>
      <c r="I15" s="26" t="str">
        <f>IF(8&gt;nA,"",IF(J14="","",1/J14))</f>
        <v/>
      </c>
      <c r="J15" s="24" t="str">
        <f>IF(8&gt;nA,"",1)</f>
        <v/>
      </c>
    </row>
    <row r="16" spans="2:13" x14ac:dyDescent="0.25">
      <c r="L16" s="99" t="s">
        <v>109</v>
      </c>
      <c r="M16" s="65"/>
    </row>
    <row r="17" spans="2:13" ht="20.100000000000001" customHeight="1" x14ac:dyDescent="0.25">
      <c r="B17" s="87" t="s">
        <v>110</v>
      </c>
      <c r="C17" s="88"/>
      <c r="D17" s="88"/>
      <c r="E17" s="88"/>
      <c r="F17" s="88"/>
      <c r="G17" s="88"/>
      <c r="H17" s="88"/>
      <c r="I17" s="88"/>
      <c r="J17" s="88"/>
      <c r="L17" s="65"/>
      <c r="M17" s="65"/>
    </row>
    <row r="18" spans="2:13" x14ac:dyDescent="0.25">
      <c r="B18" s="23" t="s">
        <v>111</v>
      </c>
      <c r="C18" s="27">
        <f>IF(1&gt;nA,"",SUM(INDEX(C$8:C$15,1):INDEX(C$8:C$15,nA)))</f>
        <v>3</v>
      </c>
      <c r="D18" s="27">
        <f>IF(2&gt;nA,"",SUM(INDEX(D$8:D$15,1):INDEX(D$8:D$15,nA)))</f>
        <v>3</v>
      </c>
      <c r="E18" s="27">
        <f>IF(3&gt;nA,"",SUM(INDEX(E$8:E$15,1):INDEX(E$8:E$15,nA)))</f>
        <v>3</v>
      </c>
      <c r="F18" s="27" t="str">
        <f>IF(4&gt;nA,"",SUM(INDEX(F$8:F$15,1):INDEX(F$8:F$15,nA)))</f>
        <v/>
      </c>
      <c r="G18" s="27" t="str">
        <f>IF(5&gt;nA,"",SUM(INDEX(G$8:G$15,1):INDEX(G$8:G$15,nA)))</f>
        <v/>
      </c>
      <c r="H18" s="27" t="str">
        <f>IF(6&gt;nA,"",SUM(INDEX(H$8:H$15,1):INDEX(H$8:H$15,nA)))</f>
        <v/>
      </c>
      <c r="I18" s="27" t="str">
        <f>IF(7&gt;nA,"",SUM(INDEX(I$8:I$15,1):INDEX(I$8:I$15,nA)))</f>
        <v/>
      </c>
      <c r="J18" s="27" t="str">
        <f>IF(8&gt;nA,"",SUM(INDEX(J$8:J$15,1):INDEX(J$8:J$15,nA)))</f>
        <v/>
      </c>
      <c r="L18" s="65"/>
      <c r="M18" s="65"/>
    </row>
    <row r="20" spans="2:13" ht="20.100000000000001" customHeight="1" x14ac:dyDescent="0.25">
      <c r="B20" s="87" t="s">
        <v>112</v>
      </c>
      <c r="C20" s="88"/>
      <c r="D20" s="88"/>
      <c r="E20" s="88"/>
      <c r="F20" s="88"/>
      <c r="G20" s="88"/>
      <c r="H20" s="88"/>
      <c r="I20" s="88"/>
      <c r="J20" s="88"/>
    </row>
    <row r="21" spans="2:13" ht="32.1" customHeight="1" x14ac:dyDescent="0.25">
      <c r="B21" s="21" t="s">
        <v>97</v>
      </c>
      <c r="C21" s="21" t="str">
        <f>IF(1&gt;nA,"",INDEX(Configuracion!$E$13:$E$20,1))</f>
        <v>Nativas</v>
      </c>
      <c r="D21" s="21" t="str">
        <f>IF(2&gt;nA,"",INDEX(Configuracion!$E$13:$E$20,2))</f>
        <v>Multiplataforma</v>
      </c>
      <c r="E21" s="21" t="str">
        <f>IF(3&gt;nA,"",INDEX(Configuracion!$E$13:$E$20,3))</f>
        <v>Aplicación web</v>
      </c>
      <c r="F21" s="21" t="str">
        <f>IF(4&gt;nA,"",INDEX(Configuracion!$E$13:$E$20,4))</f>
        <v/>
      </c>
      <c r="G21" s="21" t="str">
        <f>IF(5&gt;nA,"",INDEX(Configuracion!$E$13:$E$20,5))</f>
        <v/>
      </c>
      <c r="H21" s="21" t="str">
        <f>IF(6&gt;nA,"",INDEX(Configuracion!$E$13:$E$20,6))</f>
        <v/>
      </c>
      <c r="I21" s="21" t="str">
        <f>IF(7&gt;nA,"",INDEX(Configuracion!$E$13:$E$20,7))</f>
        <v/>
      </c>
      <c r="J21" s="21" t="str">
        <f>IF(8&gt;nA,"",INDEX(Configuracion!$E$13:$E$20,8))</f>
        <v/>
      </c>
    </row>
    <row r="22" spans="2:13" ht="18" customHeight="1" x14ac:dyDescent="0.25">
      <c r="B22" s="23" t="str">
        <f>IF(1&gt;nA,"",INDEX(Configuracion!$E$13:$E$20,1))</f>
        <v>Nativas</v>
      </c>
      <c r="C22" s="28">
        <f>IF(OR(1&gt;nA,1&gt;nA),"",C8/C$18)</f>
        <v>0.33333333333333331</v>
      </c>
      <c r="D22" s="28">
        <f>IF(OR(1&gt;nA,2&gt;nA),"",D8/D$18)</f>
        <v>0.33333333333333331</v>
      </c>
      <c r="E22" s="28">
        <f>IF(OR(1&gt;nA,3&gt;nA),"",E8/E$18)</f>
        <v>0.33333333333333331</v>
      </c>
      <c r="F22" s="28" t="str">
        <f>IF(OR(1&gt;nA,4&gt;nA),"",F8/F$18)</f>
        <v/>
      </c>
      <c r="G22" s="28" t="str">
        <f>IF(OR(1&gt;nA,5&gt;nA),"",G8/G$18)</f>
        <v/>
      </c>
      <c r="H22" s="28" t="str">
        <f>IF(OR(1&gt;nA,6&gt;nA),"",H8/H$18)</f>
        <v/>
      </c>
      <c r="I22" s="28" t="str">
        <f>IF(OR(1&gt;nA,7&gt;nA),"",I8/I$18)</f>
        <v/>
      </c>
      <c r="J22" s="28" t="str">
        <f>IF(OR(1&gt;nA,8&gt;nA),"",J8/J$18)</f>
        <v/>
      </c>
    </row>
    <row r="23" spans="2:13" ht="18" customHeight="1" x14ac:dyDescent="0.25">
      <c r="B23" s="23" t="str">
        <f>IF(2&gt;nA,"",INDEX(Configuracion!$E$13:$E$20,2))</f>
        <v>Multiplataforma</v>
      </c>
      <c r="C23" s="28">
        <f>IF(OR(2&gt;nA,1&gt;nA),"",C9/C$18)</f>
        <v>0.33333333333333331</v>
      </c>
      <c r="D23" s="28">
        <f>IF(OR(2&gt;nA,2&gt;nA),"",D9/D$18)</f>
        <v>0.33333333333333331</v>
      </c>
      <c r="E23" s="28">
        <f>IF(OR(2&gt;nA,3&gt;nA),"",E9/E$18)</f>
        <v>0.33333333333333331</v>
      </c>
      <c r="F23" s="28" t="str">
        <f>IF(OR(2&gt;nA,4&gt;nA),"",F9/F$18)</f>
        <v/>
      </c>
      <c r="G23" s="28" t="str">
        <f>IF(OR(2&gt;nA,5&gt;nA),"",G9/G$18)</f>
        <v/>
      </c>
      <c r="H23" s="28" t="str">
        <f>IF(OR(2&gt;nA,6&gt;nA),"",H9/H$18)</f>
        <v/>
      </c>
      <c r="I23" s="28" t="str">
        <f>IF(OR(2&gt;nA,7&gt;nA),"",I9/I$18)</f>
        <v/>
      </c>
      <c r="J23" s="28" t="str">
        <f>IF(OR(2&gt;nA,8&gt;nA),"",J9/J$18)</f>
        <v/>
      </c>
    </row>
    <row r="24" spans="2:13" ht="18" customHeight="1" x14ac:dyDescent="0.25">
      <c r="B24" s="23" t="str">
        <f>IF(3&gt;nA,"",INDEX(Configuracion!$E$13:$E$20,3))</f>
        <v>Aplicación web</v>
      </c>
      <c r="C24" s="28">
        <f>IF(OR(3&gt;nA,1&gt;nA),"",C10/C$18)</f>
        <v>0.33333333333333331</v>
      </c>
      <c r="D24" s="28">
        <f>IF(OR(3&gt;nA,2&gt;nA),"",D10/D$18)</f>
        <v>0.33333333333333331</v>
      </c>
      <c r="E24" s="28">
        <f>IF(OR(3&gt;nA,3&gt;nA),"",E10/E$18)</f>
        <v>0.33333333333333331</v>
      </c>
      <c r="F24" s="28" t="str">
        <f>IF(OR(3&gt;nA,4&gt;nA),"",F10/F$18)</f>
        <v/>
      </c>
      <c r="G24" s="28" t="str">
        <f>IF(OR(3&gt;nA,5&gt;nA),"",G10/G$18)</f>
        <v/>
      </c>
      <c r="H24" s="28" t="str">
        <f>IF(OR(3&gt;nA,6&gt;nA),"",H10/H$18)</f>
        <v/>
      </c>
      <c r="I24" s="28" t="str">
        <f>IF(OR(3&gt;nA,7&gt;nA),"",I10/I$18)</f>
        <v/>
      </c>
      <c r="J24" s="28" t="str">
        <f>IF(OR(3&gt;nA,8&gt;nA),"",J10/J$18)</f>
        <v/>
      </c>
    </row>
    <row r="25" spans="2:13" ht="18" customHeight="1" x14ac:dyDescent="0.25">
      <c r="B25" s="23" t="str">
        <f>IF(4&gt;nA,"",INDEX(Configuracion!$E$13:$E$20,4))</f>
        <v/>
      </c>
      <c r="C25" s="28" t="str">
        <f>IF(OR(4&gt;nA,1&gt;nA),"",C11/C$18)</f>
        <v/>
      </c>
      <c r="D25" s="28" t="str">
        <f>IF(OR(4&gt;nA,2&gt;nA),"",D11/D$18)</f>
        <v/>
      </c>
      <c r="E25" s="28" t="str">
        <f>IF(OR(4&gt;nA,3&gt;nA),"",E11/E$18)</f>
        <v/>
      </c>
      <c r="F25" s="28" t="str">
        <f>IF(OR(4&gt;nA,4&gt;nA),"",F11/F$18)</f>
        <v/>
      </c>
      <c r="G25" s="28" t="str">
        <f>IF(OR(4&gt;nA,5&gt;nA),"",G11/G$18)</f>
        <v/>
      </c>
      <c r="H25" s="28" t="str">
        <f>IF(OR(4&gt;nA,6&gt;nA),"",H11/H$18)</f>
        <v/>
      </c>
      <c r="I25" s="28" t="str">
        <f>IF(OR(4&gt;nA,7&gt;nA),"",I11/I$18)</f>
        <v/>
      </c>
      <c r="J25" s="28" t="str">
        <f>IF(OR(4&gt;nA,8&gt;nA),"",J11/J$18)</f>
        <v/>
      </c>
    </row>
    <row r="26" spans="2:13" ht="18" customHeight="1" x14ac:dyDescent="0.25">
      <c r="B26" s="23" t="str">
        <f>IF(5&gt;nA,"",INDEX(Configuracion!$E$13:$E$20,5))</f>
        <v/>
      </c>
      <c r="C26" s="28" t="str">
        <f>IF(OR(5&gt;nA,1&gt;nA),"",C12/C$18)</f>
        <v/>
      </c>
      <c r="D26" s="28" t="str">
        <f>IF(OR(5&gt;nA,2&gt;nA),"",D12/D$18)</f>
        <v/>
      </c>
      <c r="E26" s="28" t="str">
        <f>IF(OR(5&gt;nA,3&gt;nA),"",E12/E$18)</f>
        <v/>
      </c>
      <c r="F26" s="28" t="str">
        <f>IF(OR(5&gt;nA,4&gt;nA),"",F12/F$18)</f>
        <v/>
      </c>
      <c r="G26" s="28" t="str">
        <f>IF(OR(5&gt;nA,5&gt;nA),"",G12/G$18)</f>
        <v/>
      </c>
      <c r="H26" s="28" t="str">
        <f>IF(OR(5&gt;nA,6&gt;nA),"",H12/H$18)</f>
        <v/>
      </c>
      <c r="I26" s="28" t="str">
        <f>IF(OR(5&gt;nA,7&gt;nA),"",I12/I$18)</f>
        <v/>
      </c>
      <c r="J26" s="28" t="str">
        <f>IF(OR(5&gt;nA,8&gt;nA),"",J12/J$18)</f>
        <v/>
      </c>
    </row>
    <row r="27" spans="2:13" ht="18" customHeight="1" x14ac:dyDescent="0.25">
      <c r="B27" s="23" t="str">
        <f>IF(6&gt;nA,"",INDEX(Configuracion!$E$13:$E$20,6))</f>
        <v/>
      </c>
      <c r="C27" s="28" t="str">
        <f>IF(OR(6&gt;nA,1&gt;nA),"",C13/C$18)</f>
        <v/>
      </c>
      <c r="D27" s="28" t="str">
        <f>IF(OR(6&gt;nA,2&gt;nA),"",D13/D$18)</f>
        <v/>
      </c>
      <c r="E27" s="28" t="str">
        <f>IF(OR(6&gt;nA,3&gt;nA),"",E13/E$18)</f>
        <v/>
      </c>
      <c r="F27" s="28" t="str">
        <f>IF(OR(6&gt;nA,4&gt;nA),"",F13/F$18)</f>
        <v/>
      </c>
      <c r="G27" s="28" t="str">
        <f>IF(OR(6&gt;nA,5&gt;nA),"",G13/G$18)</f>
        <v/>
      </c>
      <c r="H27" s="28" t="str">
        <f>IF(OR(6&gt;nA,6&gt;nA),"",H13/H$18)</f>
        <v/>
      </c>
      <c r="I27" s="28" t="str">
        <f>IF(OR(6&gt;nA,7&gt;nA),"",I13/I$18)</f>
        <v/>
      </c>
      <c r="J27" s="28" t="str">
        <f>IF(OR(6&gt;nA,8&gt;nA),"",J13/J$18)</f>
        <v/>
      </c>
    </row>
    <row r="28" spans="2:13" ht="18" customHeight="1" x14ac:dyDescent="0.25">
      <c r="B28" s="23" t="str">
        <f>IF(7&gt;nA,"",INDEX(Configuracion!$E$13:$E$20,7))</f>
        <v/>
      </c>
      <c r="C28" s="28" t="str">
        <f>IF(OR(7&gt;nA,1&gt;nA),"",C14/C$18)</f>
        <v/>
      </c>
      <c r="D28" s="28" t="str">
        <f>IF(OR(7&gt;nA,2&gt;nA),"",D14/D$18)</f>
        <v/>
      </c>
      <c r="E28" s="28" t="str">
        <f>IF(OR(7&gt;nA,3&gt;nA),"",E14/E$18)</f>
        <v/>
      </c>
      <c r="F28" s="28" t="str">
        <f>IF(OR(7&gt;nA,4&gt;nA),"",F14/F$18)</f>
        <v/>
      </c>
      <c r="G28" s="28" t="str">
        <f>IF(OR(7&gt;nA,5&gt;nA),"",G14/G$18)</f>
        <v/>
      </c>
      <c r="H28" s="28" t="str">
        <f>IF(OR(7&gt;nA,6&gt;nA),"",H14/H$18)</f>
        <v/>
      </c>
      <c r="I28" s="28" t="str">
        <f>IF(OR(7&gt;nA,7&gt;nA),"",I14/I$18)</f>
        <v/>
      </c>
      <c r="J28" s="28" t="str">
        <f>IF(OR(7&gt;nA,8&gt;nA),"",J14/J$18)</f>
        <v/>
      </c>
    </row>
    <row r="29" spans="2:13" ht="18" customHeight="1" x14ac:dyDescent="0.25">
      <c r="B29" s="23" t="str">
        <f>IF(8&gt;nA,"",INDEX(Configuracion!$E$13:$E$20,8))</f>
        <v/>
      </c>
      <c r="C29" s="28" t="str">
        <f>IF(OR(8&gt;nA,1&gt;nA),"",C15/C$18)</f>
        <v/>
      </c>
      <c r="D29" s="28" t="str">
        <f>IF(OR(8&gt;nA,2&gt;nA),"",D15/D$18)</f>
        <v/>
      </c>
      <c r="E29" s="28" t="str">
        <f>IF(OR(8&gt;nA,3&gt;nA),"",E15/E$18)</f>
        <v/>
      </c>
      <c r="F29" s="28" t="str">
        <f>IF(OR(8&gt;nA,4&gt;nA),"",F15/F$18)</f>
        <v/>
      </c>
      <c r="G29" s="28" t="str">
        <f>IF(OR(8&gt;nA,5&gt;nA),"",G15/G$18)</f>
        <v/>
      </c>
      <c r="H29" s="28" t="str">
        <f>IF(OR(8&gt;nA,6&gt;nA),"",H15/H$18)</f>
        <v/>
      </c>
      <c r="I29" s="28" t="str">
        <f>IF(OR(8&gt;nA,7&gt;nA),"",I15/I$18)</f>
        <v/>
      </c>
      <c r="J29" s="28" t="str">
        <f>IF(OR(8&gt;nA,8&gt;nA),"",J15/J$18)</f>
        <v/>
      </c>
    </row>
    <row r="31" spans="2:13" ht="20.100000000000001" customHeight="1" x14ac:dyDescent="0.25">
      <c r="B31" s="87" t="s">
        <v>113</v>
      </c>
      <c r="C31" s="88"/>
      <c r="D31" s="88"/>
      <c r="E31" s="88"/>
      <c r="F31" s="88"/>
      <c r="G31" s="88"/>
      <c r="H31" s="88"/>
      <c r="I31" s="88"/>
      <c r="J31" s="88"/>
    </row>
    <row r="32" spans="2:13" x14ac:dyDescent="0.25">
      <c r="B32" s="3" t="s">
        <v>114</v>
      </c>
      <c r="C32" s="3" t="s">
        <v>115</v>
      </c>
      <c r="D32" s="3" t="s">
        <v>116</v>
      </c>
      <c r="E32" s="100" t="s">
        <v>117</v>
      </c>
      <c r="F32" s="101"/>
      <c r="G32" s="101"/>
      <c r="H32" s="101"/>
      <c r="I32" s="101"/>
      <c r="J32" s="101"/>
    </row>
    <row r="33" spans="2:10" ht="18" customHeight="1" x14ac:dyDescent="0.25">
      <c r="B33" s="23" t="str">
        <f>IF(1&gt;nA,"",INDEX(Configuracion!$E$13:$E$20,1))</f>
        <v>Nativas</v>
      </c>
      <c r="C33" s="29">
        <f>IF(1&gt;nA,"",AVERAGE(INDEX($C22:$J22,1):INDEX($C22:$J22,nA)))</f>
        <v>0.33333333333333331</v>
      </c>
      <c r="D33" s="30">
        <f>IF(1&gt;nA,"",C33)</f>
        <v>0.33333333333333331</v>
      </c>
      <c r="E33" s="98" t="str">
        <f>IF(1&gt;nA,"","De cada 100 puntos de importancia, este se lleva "&amp;TEXT(C33*100,"0,0")&amp;".")</f>
        <v>De cada 100 puntos de importancia, este se lleva 33.</v>
      </c>
      <c r="F33" s="63"/>
      <c r="G33" s="63"/>
      <c r="H33" s="63"/>
      <c r="I33" s="63"/>
      <c r="J33" s="63"/>
    </row>
    <row r="34" spans="2:10" ht="18" customHeight="1" x14ac:dyDescent="0.25">
      <c r="B34" s="23" t="str">
        <f>IF(2&gt;nA,"",INDEX(Configuracion!$E$13:$E$20,2))</f>
        <v>Multiplataforma</v>
      </c>
      <c r="C34" s="29">
        <f>IF(2&gt;nA,"",AVERAGE(INDEX($C23:$J23,1):INDEX($C23:$J23,nA)))</f>
        <v>0.33333333333333331</v>
      </c>
      <c r="D34" s="30">
        <f>IF(2&gt;nA,"",C34)</f>
        <v>0.33333333333333331</v>
      </c>
      <c r="E34" s="98" t="str">
        <f>IF(2&gt;nA,"","De cada 100 puntos de importancia, este se lleva "&amp;TEXT(C34*100,"0,0")&amp;".")</f>
        <v>De cada 100 puntos de importancia, este se lleva 33.</v>
      </c>
      <c r="F34" s="63"/>
      <c r="G34" s="63"/>
      <c r="H34" s="63"/>
      <c r="I34" s="63"/>
      <c r="J34" s="63"/>
    </row>
    <row r="35" spans="2:10" ht="18" customHeight="1" x14ac:dyDescent="0.25">
      <c r="B35" s="23" t="str">
        <f>IF(3&gt;nA,"",INDEX(Configuracion!$E$13:$E$20,3))</f>
        <v>Aplicación web</v>
      </c>
      <c r="C35" s="29">
        <f>IF(3&gt;nA,"",AVERAGE(INDEX($C24:$J24,1):INDEX($C24:$J24,nA)))</f>
        <v>0.33333333333333331</v>
      </c>
      <c r="D35" s="30">
        <f>IF(3&gt;nA,"",C35)</f>
        <v>0.33333333333333331</v>
      </c>
      <c r="E35" s="98" t="str">
        <f>IF(3&gt;nA,"","De cada 100 puntos de importancia, este se lleva "&amp;TEXT(C35*100,"0,0")&amp;".")</f>
        <v>De cada 100 puntos de importancia, este se lleva 33.</v>
      </c>
      <c r="F35" s="63"/>
      <c r="G35" s="63"/>
      <c r="H35" s="63"/>
      <c r="I35" s="63"/>
      <c r="J35" s="63"/>
    </row>
    <row r="36" spans="2:10" ht="18" customHeight="1" x14ac:dyDescent="0.25">
      <c r="B36" s="23" t="str">
        <f>IF(4&gt;nA,"",INDEX(Configuracion!$E$13:$E$20,4))</f>
        <v/>
      </c>
      <c r="C36" s="29" t="str">
        <f>IF(4&gt;nA,"",AVERAGE(INDEX($C25:$J25,1):INDEX($C25:$J25,nA)))</f>
        <v/>
      </c>
      <c r="D36" s="30" t="str">
        <f>IF(4&gt;nA,"",C36)</f>
        <v/>
      </c>
      <c r="E36" s="98" t="str">
        <f>IF(4&gt;nA,"","De cada 100 puntos de importancia, este se lleva "&amp;TEXT(C36*100,"0,0")&amp;".")</f>
        <v/>
      </c>
      <c r="F36" s="63"/>
      <c r="G36" s="63"/>
      <c r="H36" s="63"/>
      <c r="I36" s="63"/>
      <c r="J36" s="63"/>
    </row>
    <row r="37" spans="2:10" ht="18" customHeight="1" x14ac:dyDescent="0.25">
      <c r="B37" s="23" t="str">
        <f>IF(5&gt;nA,"",INDEX(Configuracion!$E$13:$E$20,5))</f>
        <v/>
      </c>
      <c r="C37" s="29" t="str">
        <f>IF(5&gt;nA,"",AVERAGE(INDEX($C26:$J26,1):INDEX($C26:$J26,nA)))</f>
        <v/>
      </c>
      <c r="D37" s="30" t="str">
        <f>IF(5&gt;nA,"",C37)</f>
        <v/>
      </c>
      <c r="E37" s="98" t="str">
        <f>IF(5&gt;nA,"","De cada 100 puntos de importancia, este se lleva "&amp;TEXT(C37*100,"0,0")&amp;".")</f>
        <v/>
      </c>
      <c r="F37" s="63"/>
      <c r="G37" s="63"/>
      <c r="H37" s="63"/>
      <c r="I37" s="63"/>
      <c r="J37" s="63"/>
    </row>
    <row r="38" spans="2:10" ht="18" customHeight="1" x14ac:dyDescent="0.25">
      <c r="B38" s="23" t="str">
        <f>IF(6&gt;nA,"",INDEX(Configuracion!$E$13:$E$20,6))</f>
        <v/>
      </c>
      <c r="C38" s="29" t="str">
        <f>IF(6&gt;nA,"",AVERAGE(INDEX($C27:$J27,1):INDEX($C27:$J27,nA)))</f>
        <v/>
      </c>
      <c r="D38" s="30" t="str">
        <f>IF(6&gt;nA,"",C38)</f>
        <v/>
      </c>
      <c r="E38" s="98" t="str">
        <f>IF(6&gt;nA,"","De cada 100 puntos de importancia, este se lleva "&amp;TEXT(C38*100,"0,0")&amp;".")</f>
        <v/>
      </c>
      <c r="F38" s="63"/>
      <c r="G38" s="63"/>
      <c r="H38" s="63"/>
      <c r="I38" s="63"/>
      <c r="J38" s="63"/>
    </row>
    <row r="39" spans="2:10" ht="18" customHeight="1" x14ac:dyDescent="0.25">
      <c r="B39" s="23" t="str">
        <f>IF(7&gt;nA,"",INDEX(Configuracion!$E$13:$E$20,7))</f>
        <v/>
      </c>
      <c r="C39" s="29" t="str">
        <f>IF(7&gt;nA,"",AVERAGE(INDEX($C28:$J28,1):INDEX($C28:$J28,nA)))</f>
        <v/>
      </c>
      <c r="D39" s="30" t="str">
        <f>IF(7&gt;nA,"",C39)</f>
        <v/>
      </c>
      <c r="E39" s="98" t="str">
        <f>IF(7&gt;nA,"","De cada 100 puntos de importancia, este se lleva "&amp;TEXT(C39*100,"0,0")&amp;".")</f>
        <v/>
      </c>
      <c r="F39" s="63"/>
      <c r="G39" s="63"/>
      <c r="H39" s="63"/>
      <c r="I39" s="63"/>
      <c r="J39" s="63"/>
    </row>
    <row r="40" spans="2:10" ht="18" customHeight="1" x14ac:dyDescent="0.25">
      <c r="B40" s="23" t="str">
        <f>IF(8&gt;nA,"",INDEX(Configuracion!$E$13:$E$20,8))</f>
        <v/>
      </c>
      <c r="C40" s="29" t="str">
        <f>IF(8&gt;nA,"",AVERAGE(INDEX($C29:$J29,1):INDEX($C29:$J29,nA)))</f>
        <v/>
      </c>
      <c r="D40" s="30" t="str">
        <f>IF(8&gt;nA,"",C40)</f>
        <v/>
      </c>
      <c r="E40" s="98" t="str">
        <f>IF(8&gt;nA,"","De cada 100 puntos de importancia, este se lleva "&amp;TEXT(C40*100,"0,0")&amp;".")</f>
        <v/>
      </c>
      <c r="F40" s="63"/>
      <c r="G40" s="63"/>
      <c r="H40" s="63"/>
      <c r="I40" s="63"/>
      <c r="J40" s="63"/>
    </row>
    <row r="41" spans="2:10" x14ac:dyDescent="0.25">
      <c r="B41" s="31" t="s">
        <v>118</v>
      </c>
      <c r="C41" s="32">
        <f>SUM(INDEX($C$33:$C$40,1):INDEX($C$33:$C$40,nA))</f>
        <v>1</v>
      </c>
    </row>
    <row r="43" spans="2:10" x14ac:dyDescent="0.25">
      <c r="B43" s="33" t="s">
        <v>119</v>
      </c>
      <c r="C43" s="34">
        <f>IF(1&gt;nA,"",$C$33)</f>
        <v>0.33333333333333331</v>
      </c>
      <c r="D43" s="34">
        <f>IF(2&gt;nA,"",$C$34)</f>
        <v>0.33333333333333331</v>
      </c>
      <c r="E43" s="34">
        <f>IF(3&gt;nA,"",$C$35)</f>
        <v>0.33333333333333331</v>
      </c>
      <c r="F43" s="34" t="str">
        <f>IF(4&gt;nA,"",$C$36)</f>
        <v/>
      </c>
      <c r="G43" s="34" t="str">
        <f>IF(5&gt;nA,"",$C$37)</f>
        <v/>
      </c>
      <c r="H43" s="34" t="str">
        <f>IF(6&gt;nA,"",$C$38)</f>
        <v/>
      </c>
      <c r="I43" s="34" t="str">
        <f>IF(7&gt;nA,"",$C$39)</f>
        <v/>
      </c>
      <c r="J43" s="34" t="str">
        <f>IF(8&gt;nA,"",$C$40)</f>
        <v/>
      </c>
    </row>
    <row r="45" spans="2:10" ht="20.100000000000001" customHeight="1" x14ac:dyDescent="0.25">
      <c r="B45" s="87" t="s">
        <v>120</v>
      </c>
      <c r="C45" s="88"/>
      <c r="D45" s="88"/>
      <c r="E45" s="88"/>
      <c r="F45" s="88"/>
      <c r="G45" s="88"/>
      <c r="H45" s="88"/>
      <c r="I45" s="88"/>
      <c r="J45" s="88"/>
    </row>
    <row r="46" spans="2:10" ht="27.95" customHeight="1" x14ac:dyDescent="0.25">
      <c r="B46" s="35" t="s">
        <v>114</v>
      </c>
      <c r="C46" s="35" t="s">
        <v>121</v>
      </c>
      <c r="D46" s="35" t="s">
        <v>115</v>
      </c>
      <c r="E46" s="35" t="s">
        <v>122</v>
      </c>
    </row>
    <row r="47" spans="2:10" ht="18" customHeight="1" x14ac:dyDescent="0.25">
      <c r="B47" s="23" t="str">
        <f>IF(1&gt;nA,"",INDEX(Configuracion!$E$13:$E$20,1))</f>
        <v>Nativas</v>
      </c>
      <c r="C47" s="28">
        <f>IF(1&gt;nA,"",SUMPRODUCT(INDEX($C8:$J8,1):INDEX($C8:$J8,nA),INDEX($C$43:$J$43,1):INDEX($C$43:$J$43,nA)))</f>
        <v>1</v>
      </c>
      <c r="D47" s="28">
        <f>IF(1&gt;nA,"",$C$33)</f>
        <v>0.33333333333333331</v>
      </c>
      <c r="E47" s="36">
        <f>IF(1&gt;nA,"",C47/D47)</f>
        <v>3</v>
      </c>
    </row>
    <row r="48" spans="2:10" ht="18" customHeight="1" x14ac:dyDescent="0.25">
      <c r="B48" s="23" t="str">
        <f>IF(2&gt;nA,"",INDEX(Configuracion!$E$13:$E$20,2))</f>
        <v>Multiplataforma</v>
      </c>
      <c r="C48" s="28">
        <f>IF(2&gt;nA,"",SUMPRODUCT(INDEX($C9:$J9,1):INDEX($C9:$J9,nA),INDEX($C$43:$J$43,1):INDEX($C$43:$J$43,nA)))</f>
        <v>1</v>
      </c>
      <c r="D48" s="28">
        <f>IF(2&gt;nA,"",$C$34)</f>
        <v>0.33333333333333331</v>
      </c>
      <c r="E48" s="36">
        <f>IF(2&gt;nA,"",C48/D48)</f>
        <v>3</v>
      </c>
    </row>
    <row r="49" spans="2:10" ht="18" customHeight="1" x14ac:dyDescent="0.25">
      <c r="B49" s="23" t="str">
        <f>IF(3&gt;nA,"",INDEX(Configuracion!$E$13:$E$20,3))</f>
        <v>Aplicación web</v>
      </c>
      <c r="C49" s="28">
        <f>IF(3&gt;nA,"",SUMPRODUCT(INDEX($C10:$J10,1):INDEX($C10:$J10,nA),INDEX($C$43:$J$43,1):INDEX($C$43:$J$43,nA)))</f>
        <v>1</v>
      </c>
      <c r="D49" s="28">
        <f>IF(3&gt;nA,"",$C$35)</f>
        <v>0.33333333333333331</v>
      </c>
      <c r="E49" s="36">
        <f>IF(3&gt;nA,"",C49/D49)</f>
        <v>3</v>
      </c>
    </row>
    <row r="50" spans="2:10" ht="18" customHeight="1" x14ac:dyDescent="0.25">
      <c r="B50" s="23" t="str">
        <f>IF(4&gt;nA,"",INDEX(Configuracion!$E$13:$E$20,4))</f>
        <v/>
      </c>
      <c r="C50" s="28" t="str">
        <f>IF(4&gt;nA,"",SUMPRODUCT(INDEX($C11:$J11,1):INDEX($C11:$J11,nA),INDEX($C$43:$J$43,1):INDEX($C$43:$J$43,nA)))</f>
        <v/>
      </c>
      <c r="D50" s="28" t="str">
        <f>IF(4&gt;nA,"",$C$36)</f>
        <v/>
      </c>
      <c r="E50" s="36" t="str">
        <f>IF(4&gt;nA,"",C50/D50)</f>
        <v/>
      </c>
    </row>
    <row r="51" spans="2:10" ht="18" customHeight="1" x14ac:dyDescent="0.25">
      <c r="B51" s="23" t="str">
        <f>IF(5&gt;nA,"",INDEX(Configuracion!$E$13:$E$20,5))</f>
        <v/>
      </c>
      <c r="C51" s="28" t="str">
        <f>IF(5&gt;nA,"",SUMPRODUCT(INDEX($C12:$J12,1):INDEX($C12:$J12,nA),INDEX($C$43:$J$43,1):INDEX($C$43:$J$43,nA)))</f>
        <v/>
      </c>
      <c r="D51" s="28" t="str">
        <f>IF(5&gt;nA,"",$C$37)</f>
        <v/>
      </c>
      <c r="E51" s="36" t="str">
        <f>IF(5&gt;nA,"",C51/D51)</f>
        <v/>
      </c>
    </row>
    <row r="52" spans="2:10" ht="18" customHeight="1" x14ac:dyDescent="0.25">
      <c r="B52" s="23" t="str">
        <f>IF(6&gt;nA,"",INDEX(Configuracion!$E$13:$E$20,6))</f>
        <v/>
      </c>
      <c r="C52" s="28" t="str">
        <f>IF(6&gt;nA,"",SUMPRODUCT(INDEX($C13:$J13,1):INDEX($C13:$J13,nA),INDEX($C$43:$J$43,1):INDEX($C$43:$J$43,nA)))</f>
        <v/>
      </c>
      <c r="D52" s="28" t="str">
        <f>IF(6&gt;nA,"",$C$38)</f>
        <v/>
      </c>
      <c r="E52" s="36" t="str">
        <f>IF(6&gt;nA,"",C52/D52)</f>
        <v/>
      </c>
    </row>
    <row r="53" spans="2:10" ht="18" customHeight="1" x14ac:dyDescent="0.25">
      <c r="B53" s="23" t="str">
        <f>IF(7&gt;nA,"",INDEX(Configuracion!$E$13:$E$20,7))</f>
        <v/>
      </c>
      <c r="C53" s="28" t="str">
        <f>IF(7&gt;nA,"",SUMPRODUCT(INDEX($C14:$J14,1):INDEX($C14:$J14,nA),INDEX($C$43:$J$43,1):INDEX($C$43:$J$43,nA)))</f>
        <v/>
      </c>
      <c r="D53" s="28" t="str">
        <f>IF(7&gt;nA,"",$C$39)</f>
        <v/>
      </c>
      <c r="E53" s="36" t="str">
        <f>IF(7&gt;nA,"",C53/D53)</f>
        <v/>
      </c>
    </row>
    <row r="54" spans="2:10" ht="18" customHeight="1" x14ac:dyDescent="0.25">
      <c r="B54" s="23" t="str">
        <f>IF(8&gt;nA,"",INDEX(Configuracion!$E$13:$E$20,8))</f>
        <v/>
      </c>
      <c r="C54" s="28" t="str">
        <f>IF(8&gt;nA,"",SUMPRODUCT(INDEX($C15:$J15,1):INDEX($C15:$J15,nA),INDEX($C$43:$J$43,1):INDEX($C$43:$J$43,nA)))</f>
        <v/>
      </c>
      <c r="D54" s="28" t="str">
        <f>IF(8&gt;nA,"",$C$40)</f>
        <v/>
      </c>
      <c r="E54" s="36" t="str">
        <f>IF(8&gt;nA,"",C54/D54)</f>
        <v/>
      </c>
    </row>
    <row r="56" spans="2:10" ht="20.100000000000001" customHeight="1" x14ac:dyDescent="0.25">
      <c r="B56" s="85" t="s">
        <v>123</v>
      </c>
      <c r="C56" s="86"/>
      <c r="D56" s="86"/>
      <c r="E56" s="86"/>
      <c r="F56" s="86"/>
      <c r="G56" s="86"/>
      <c r="H56" s="86"/>
      <c r="I56" s="86"/>
      <c r="J56" s="86"/>
    </row>
    <row r="57" spans="2:10" x14ac:dyDescent="0.25">
      <c r="B57" s="37" t="s">
        <v>124</v>
      </c>
      <c r="C57" s="38">
        <f>AVERAGE(INDEX($E$47:$E$54,1):INDEX($E$47:$E$54,nA))</f>
        <v>3</v>
      </c>
    </row>
    <row r="58" spans="2:10" x14ac:dyDescent="0.25">
      <c r="B58" s="37" t="s">
        <v>125</v>
      </c>
      <c r="C58" s="39">
        <f>nA</f>
        <v>3</v>
      </c>
    </row>
    <row r="59" spans="2:10" x14ac:dyDescent="0.25">
      <c r="B59" s="37" t="s">
        <v>126</v>
      </c>
      <c r="C59" s="38">
        <f>IF(nA&lt;2,0,(C57-C58)/(C58-1))</f>
        <v>0</v>
      </c>
    </row>
    <row r="60" spans="2:10" x14ac:dyDescent="0.25">
      <c r="B60" s="37" t="s">
        <v>127</v>
      </c>
      <c r="C60" s="40">
        <f>INDEX(RI_tabla,nA)</f>
        <v>0.57999999999999996</v>
      </c>
    </row>
    <row r="61" spans="2:10" ht="15.75" x14ac:dyDescent="0.25">
      <c r="B61" s="41" t="s">
        <v>128</v>
      </c>
      <c r="C61" s="42">
        <f>IF(nA&lt;3,0,IF(C60=0,0,C59/C60))</f>
        <v>0</v>
      </c>
    </row>
    <row r="62" spans="2:10" ht="26.1" customHeight="1" x14ac:dyDescent="0.25">
      <c r="B62" s="43" t="s">
        <v>129</v>
      </c>
      <c r="C62" s="44">
        <f>C61</f>
        <v>0</v>
      </c>
      <c r="D62" s="97" t="str">
        <f>IF(C61&lt;=0.1,"ACEPTABLE  ·  puedes seguir",IF(C61&lt;=0.2,"DUDOSO  ·  revisa las comparaciones mas extremas","RECHAZADO  ·  hay que reevaluar esta matriz"))</f>
        <v>ACEPTABLE  ·  puedes seguir</v>
      </c>
      <c r="E62" s="63"/>
      <c r="F62" s="63"/>
      <c r="G62" s="63"/>
      <c r="H62" s="63"/>
      <c r="I62" s="63"/>
      <c r="J62" s="63"/>
    </row>
    <row r="64" spans="2:10" ht="30" customHeight="1" x14ac:dyDescent="0.25">
      <c r="B64" s="64" t="str">
        <f>IF(C61&lt;=0.1,"Tus juicios son coherentes. Los pesos del PASO 4 se pueden usar.","Busca en la matriz del PASO 1 el numero mas extremo (un 7 o un 9) y preguntate si de verdad es para tanto. Bajalo un escalon y vuelve a mirar el CR.")</f>
        <v>Tus juicios son coherentes. Los pesos del PASO 4 se pueden usar.</v>
      </c>
      <c r="C64" s="65"/>
      <c r="D64" s="65"/>
      <c r="E64" s="65"/>
      <c r="F64" s="65"/>
      <c r="G64" s="65"/>
      <c r="H64" s="65"/>
      <c r="I64" s="65"/>
      <c r="J64" s="65"/>
    </row>
  </sheetData>
  <mergeCells count="21">
    <mergeCell ref="L16:M18"/>
    <mergeCell ref="E36:J36"/>
    <mergeCell ref="E39:J39"/>
    <mergeCell ref="E35:J35"/>
    <mergeCell ref="E38:J38"/>
    <mergeCell ref="B64:J64"/>
    <mergeCell ref="E32:J32"/>
    <mergeCell ref="B20:J20"/>
    <mergeCell ref="B45:J45"/>
    <mergeCell ref="E37:J37"/>
    <mergeCell ref="B56:J56"/>
    <mergeCell ref="D62:J62"/>
    <mergeCell ref="E40:J40"/>
    <mergeCell ref="E34:J34"/>
    <mergeCell ref="B2:J2"/>
    <mergeCell ref="B4:J4"/>
    <mergeCell ref="E33:J33"/>
    <mergeCell ref="B3:J3"/>
    <mergeCell ref="B31:J31"/>
    <mergeCell ref="B6:J6"/>
    <mergeCell ref="B17:J17"/>
  </mergeCells>
  <conditionalFormatting sqref="B47:E54">
    <cfRule type="expression" dxfId="38" priority="5">
      <formula>ROW()-46&gt;nA</formula>
    </cfRule>
  </conditionalFormatting>
  <conditionalFormatting sqref="B4:J4">
    <cfRule type="expression" dxfId="37" priority="1">
      <formula>8&gt;nC</formula>
    </cfRule>
  </conditionalFormatting>
  <conditionalFormatting sqref="B8:J15">
    <cfRule type="expression" dxfId="36" priority="2">
      <formula>OR(ROW()-7&gt;nA,COLUMN()-2&gt;nA)</formula>
    </cfRule>
  </conditionalFormatting>
  <conditionalFormatting sqref="B22:J29">
    <cfRule type="expression" dxfId="35" priority="3">
      <formula>OR(ROW()-21&gt;nA,COLUMN()-2&gt;nA)</formula>
    </cfRule>
  </conditionalFormatting>
  <conditionalFormatting sqref="B33:J40">
    <cfRule type="expression" dxfId="34" priority="4">
      <formula>ROW()-32&gt;nA</formula>
    </cfRule>
  </conditionalFormatting>
  <conditionalFormatting sqref="C62:J62">
    <cfRule type="expression" dxfId="33" priority="6">
      <formula>$C$61&lt;=0.1</formula>
    </cfRule>
    <cfRule type="expression" dxfId="32" priority="7">
      <formula>AND($C$61&gt;0.1,$C$61&lt;=0.2)</formula>
    </cfRule>
    <cfRule type="expression" dxfId="31" priority="8">
      <formula>$C$61&gt;0.2</formula>
    </cfRule>
  </conditionalFormatting>
  <dataValidations count="1">
    <dataValidation type="decimal" showInputMessage="1" showErrorMessage="1" errorTitle="Fuera de la escala" error="Solo se admiten valores entre 1/9 y 9. Escribe los inversos como =1/3, =1/5 ..." promptTitle="Escala de Saaty" prompt="1 = igual · 3 = algo mas · 5 = bastante mas · 7 = mucho mas · 9 = extremadamente mas._x000a_Si el de la COLUMNA es el mas importante, escribe la fraccion como formula: =1/3, =1/5, =1/7 ..." sqref="C8:J15" xr:uid="{00000000-0002-0000-0A00-000000000000}">
      <formula1>0.1111</formula1>
      <formula2>9</formula2>
    </dataValidation>
  </dataValidations>
  <printOptions horizontalCentered="1"/>
  <pageMargins left="0.3" right="0.3" top="0.4" bottom="0.4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B8A6D"/>
    <pageSetUpPr fitToPage="1"/>
  </sheetPr>
  <dimension ref="B2:L42"/>
  <sheetViews>
    <sheetView showGridLines="0" tabSelected="1" workbookViewId="0">
      <pane xSplit="2" ySplit="10" topLeftCell="C26" activePane="bottomRight" state="frozen"/>
      <selection pane="topRight"/>
      <selection pane="bottomLeft"/>
      <selection pane="bottomRight" activeCell="D24" sqref="D24:L24"/>
    </sheetView>
  </sheetViews>
  <sheetFormatPr baseColWidth="10" defaultColWidth="9.140625" defaultRowHeight="15" x14ac:dyDescent="0.25"/>
  <cols>
    <col min="1" max="1" width="3" customWidth="1"/>
    <col min="2" max="2" width="33" customWidth="1"/>
    <col min="3" max="10" width="13" customWidth="1"/>
    <col min="11" max="11" width="14" customWidth="1"/>
    <col min="12" max="12" width="10" customWidth="1"/>
  </cols>
  <sheetData>
    <row r="2" spans="2:12" ht="26.1" customHeight="1" x14ac:dyDescent="0.25">
      <c r="B2" s="60" t="s">
        <v>139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2:12" ht="30" customHeight="1" x14ac:dyDescent="0.25">
      <c r="B3" s="67" t="s">
        <v>140</v>
      </c>
      <c r="C3" s="65"/>
      <c r="D3" s="65"/>
      <c r="E3" s="65"/>
      <c r="F3" s="65"/>
      <c r="G3" s="65"/>
      <c r="H3" s="65"/>
      <c r="I3" s="65"/>
      <c r="J3" s="65"/>
      <c r="K3" s="65"/>
      <c r="L3" s="65"/>
    </row>
    <row r="5" spans="2:12" ht="20.100000000000001" customHeight="1" x14ac:dyDescent="0.25">
      <c r="B5" s="87" t="s">
        <v>141</v>
      </c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2:12" ht="32.1" customHeight="1" x14ac:dyDescent="0.25">
      <c r="B6" s="3" t="s">
        <v>142</v>
      </c>
      <c r="C6" s="21" t="str">
        <f>IF(1&gt;nC,"",INDEX(Configuracion!$C$13:$C$20,1))</f>
        <v xml:space="preserve">Costo total </v>
      </c>
      <c r="D6" s="21" t="str">
        <f>IF(2&gt;nC,"",INDEX(Configuracion!$C$13:$C$20,2))</f>
        <v>Tiempo de entrega</v>
      </c>
      <c r="E6" s="21" t="str">
        <f>IF(3&gt;nC,"",INDEX(Configuracion!$C$13:$C$20,3))</f>
        <v xml:space="preserve">Experiencia de usario </v>
      </c>
      <c r="F6" s="21" t="str">
        <f>IF(4&gt;nC,"",INDEX(Configuracion!$C$13:$C$20,4))</f>
        <v>Funciona sin internet</v>
      </c>
      <c r="G6" s="21" t="str">
        <f>IF(5&gt;nC,"",INDEX(Configuracion!$C$13:$C$20,5))</f>
        <v>Seguridad</v>
      </c>
      <c r="H6" s="21" t="str">
        <f>IF(6&gt;nC,"",INDEX(Configuracion!$C$13:$C$20,6))</f>
        <v/>
      </c>
      <c r="I6" s="21" t="str">
        <f>IF(7&gt;nC,"",INDEX(Configuracion!$C$13:$C$20,7))</f>
        <v/>
      </c>
      <c r="J6" s="21" t="str">
        <f>IF(8&gt;nC,"",INDEX(Configuracion!$C$13:$C$20,8))</f>
        <v/>
      </c>
    </row>
    <row r="7" spans="2:12" x14ac:dyDescent="0.25">
      <c r="B7" s="23" t="s">
        <v>143</v>
      </c>
      <c r="C7" s="45">
        <f>IF(1&gt;nC,"",Criterios!$C$32)</f>
        <v>0.24005169820930083</v>
      </c>
      <c r="D7" s="45">
        <f>IF(2&gt;nC,"",Criterios!$C$33)</f>
        <v>0.27641533457293721</v>
      </c>
      <c r="E7" s="45">
        <f>IF(3&gt;nC,"",Criterios!$C$34)</f>
        <v>6.2555794187314717E-2</v>
      </c>
      <c r="F7" s="45">
        <f>IF(4&gt;nC,"",Criterios!$C$35)</f>
        <v>0.31277897093657359</v>
      </c>
      <c r="G7" s="45">
        <f>IF(5&gt;nC,"",Criterios!$C$36)</f>
        <v>0.10819820209387357</v>
      </c>
      <c r="H7" s="45" t="str">
        <f>IF(6&gt;nC,"",Criterios!$C$37)</f>
        <v/>
      </c>
      <c r="I7" s="45" t="str">
        <f>IF(7&gt;nC,"",Criterios!$C$38)</f>
        <v/>
      </c>
      <c r="J7" s="45" t="str">
        <f>IF(8&gt;nC,"",Criterios!$C$39)</f>
        <v/>
      </c>
    </row>
    <row r="9" spans="2:12" ht="20.100000000000001" customHeight="1" x14ac:dyDescent="0.25">
      <c r="B9" s="87" t="s">
        <v>144</v>
      </c>
      <c r="C9" s="88"/>
      <c r="D9" s="88"/>
      <c r="E9" s="88"/>
      <c r="F9" s="88"/>
      <c r="G9" s="88"/>
      <c r="H9" s="88"/>
      <c r="I9" s="88"/>
      <c r="J9" s="88"/>
      <c r="K9" s="88"/>
      <c r="L9" s="88"/>
    </row>
    <row r="10" spans="2:12" ht="33.950000000000003" customHeight="1" x14ac:dyDescent="0.25">
      <c r="B10" s="3" t="s">
        <v>145</v>
      </c>
      <c r="C10" s="21" t="str">
        <f>IF(1&gt;nC,"",INDEX(Configuracion!$C$13:$C$20,1))</f>
        <v xml:space="preserve">Costo total </v>
      </c>
      <c r="D10" s="21" t="str">
        <f>IF(2&gt;nC,"",INDEX(Configuracion!$C$13:$C$20,2))</f>
        <v>Tiempo de entrega</v>
      </c>
      <c r="E10" s="21" t="str">
        <f>IF(3&gt;nC,"",INDEX(Configuracion!$C$13:$C$20,3))</f>
        <v xml:space="preserve">Experiencia de usario </v>
      </c>
      <c r="F10" s="21" t="str">
        <f>IF(4&gt;nC,"",INDEX(Configuracion!$C$13:$C$20,4))</f>
        <v>Funciona sin internet</v>
      </c>
      <c r="G10" s="21" t="str">
        <f>IF(5&gt;nC,"",INDEX(Configuracion!$C$13:$C$20,5))</f>
        <v>Seguridad</v>
      </c>
      <c r="H10" s="21" t="str">
        <f>IF(6&gt;nC,"",INDEX(Configuracion!$C$13:$C$20,6))</f>
        <v/>
      </c>
      <c r="I10" s="21" t="str">
        <f>IF(7&gt;nC,"",INDEX(Configuracion!$C$13:$C$20,7))</f>
        <v/>
      </c>
      <c r="J10" s="21" t="str">
        <f>IF(8&gt;nC,"",INDEX(Configuracion!$C$13:$C$20,8))</f>
        <v/>
      </c>
      <c r="K10" s="46" t="s">
        <v>146</v>
      </c>
      <c r="L10" s="46" t="s">
        <v>147</v>
      </c>
    </row>
    <row r="11" spans="2:12" ht="18.95" customHeight="1" x14ac:dyDescent="0.25">
      <c r="B11" s="47" t="str">
        <f>IF(1&gt;nA,"",INDEX(Configuracion!$E$13:$E$20,1))</f>
        <v>Nativas</v>
      </c>
      <c r="C11" s="48">
        <f>IF(OR(1&gt;nA,1&gt;nC),"",'C1'!$C$33)</f>
        <v>0.66394895427153489</v>
      </c>
      <c r="D11" s="48">
        <f>IF(OR(1&gt;nA,2&gt;nC),"",'C2'!$C$33)</f>
        <v>0.58126361655773418</v>
      </c>
      <c r="E11" s="48">
        <f>IF(OR(1&gt;nA,3&gt;nC),"",'C3'!$C$33)</f>
        <v>0.16378066378066378</v>
      </c>
      <c r="F11" s="48">
        <f>IF(OR(1&gt;nA,4&gt;nC),"",'C4'!$C$33)</f>
        <v>0.33333333333333331</v>
      </c>
      <c r="G11" s="48">
        <f>IF(OR(1&gt;nA,5&gt;nC),"",'C5'!$C$33)</f>
        <v>0.33333333333333331</v>
      </c>
      <c r="H11" s="48" t="str">
        <f>IF(OR(1&gt;nA,6&gt;nC),"",'C6'!$C$33)</f>
        <v/>
      </c>
      <c r="I11" s="48" t="str">
        <f>IF(OR(1&gt;nA,7&gt;nC),"",'C7'!$C$33)</f>
        <v/>
      </c>
      <c r="J11" s="48" t="str">
        <f>IF(OR(1&gt;nA,8&gt;nC),"",'C8'!$C$33)</f>
        <v/>
      </c>
      <c r="K11" s="49">
        <f>IF(1&gt;nA,"",SUMPRODUCT(INDEX($C11:$J11,1):INDEX($C11:$J11,nC),INDEX($C$7:$J$7,1):INDEX($C$7:$J$7,nC)))</f>
        <v>0.47062340488186033</v>
      </c>
      <c r="L11" s="50">
        <f>IF(1&gt;nA,"",RANK(K11,INDEX($K$11:$K$18,1):INDEX($K$11:$K$18,nA)))</f>
        <v>1</v>
      </c>
    </row>
    <row r="12" spans="2:12" ht="18.95" customHeight="1" x14ac:dyDescent="0.25">
      <c r="B12" s="47" t="str">
        <f>IF(2&gt;nA,"",INDEX(Configuracion!$E$13:$E$20,2))</f>
        <v>Multiplataforma</v>
      </c>
      <c r="C12" s="48">
        <f>IF(OR(2&gt;nA,1&gt;nC),"",'C1'!$C$34)</f>
        <v>0.20075623301429749</v>
      </c>
      <c r="D12" s="48">
        <f>IF(OR(2&gt;nA,2&gt;nC),"",'C2'!$C$34)</f>
        <v>0.10958605664488018</v>
      </c>
      <c r="E12" s="48">
        <f>IF(OR(2&gt;nA,3&gt;nC),"",'C3'!$C$34)</f>
        <v>0.29725829725829728</v>
      </c>
      <c r="F12" s="48">
        <f>IF(OR(2&gt;nA,4&gt;nC),"",'C4'!$C$34)</f>
        <v>0.33333333333333331</v>
      </c>
      <c r="G12" s="48">
        <f>IF(OR(2&gt;nA,5&gt;nC),"",'C5'!$C$34)</f>
        <v>0.33333333333333331</v>
      </c>
      <c r="H12" s="48" t="str">
        <f>IF(OR(2&gt;nA,6&gt;nC),"",'C6'!$C$34)</f>
        <v/>
      </c>
      <c r="I12" s="48" t="str">
        <f>IF(OR(2&gt;nA,7&gt;nC),"",'C7'!$C$34)</f>
        <v/>
      </c>
      <c r="J12" s="48" t="str">
        <f>IF(OR(2&gt;nA,8&gt;nC),"",'C8'!$C$34)</f>
        <v/>
      </c>
      <c r="K12" s="49">
        <f>IF(2&gt;nA,"",SUMPRODUCT(INDEX($C12:$J12,1):INDEX($C12:$J12,nC),INDEX($C$7:$J$7,1):INDEX($C$7:$J$7,nC)))</f>
        <v>0.23740409438045168</v>
      </c>
      <c r="L12" s="50">
        <f>IF(2&gt;nA,"",RANK(K12,INDEX($K$11:$K$18,1):INDEX($K$11:$K$18,nA)))</f>
        <v>3</v>
      </c>
    </row>
    <row r="13" spans="2:12" ht="18.95" customHeight="1" x14ac:dyDescent="0.25">
      <c r="B13" s="47" t="str">
        <f>IF(3&gt;nA,"",INDEX(Configuracion!$E$13:$E$20,3))</f>
        <v>Aplicación web</v>
      </c>
      <c r="C13" s="48">
        <f>IF(OR(3&gt;nA,1&gt;nC),"",'C1'!$C$35)</f>
        <v>0.13529481271416754</v>
      </c>
      <c r="D13" s="48">
        <f>IF(OR(3&gt;nA,2&gt;nC),"",'C2'!$C$35)</f>
        <v>0.30915032679738563</v>
      </c>
      <c r="E13" s="48">
        <f>IF(OR(3&gt;nA,3&gt;nC),"",'C3'!$C$35)</f>
        <v>0.53896103896103897</v>
      </c>
      <c r="F13" s="48">
        <f>IF(OR(3&gt;nA,4&gt;nC),"",'C4'!$C$35)</f>
        <v>0.33333333333333331</v>
      </c>
      <c r="G13" s="48">
        <f>IF(OR(3&gt;nA,5&gt;nC),"",'C5'!$C$35)</f>
        <v>0.33333333333333331</v>
      </c>
      <c r="H13" s="48" t="str">
        <f>IF(OR(3&gt;nA,6&gt;nC),"",'C6'!$C$35)</f>
        <v/>
      </c>
      <c r="I13" s="48" t="str">
        <f>IF(OR(3&gt;nA,7&gt;nC),"",'C7'!$C$35)</f>
        <v/>
      </c>
      <c r="J13" s="48" t="str">
        <f>IF(OR(3&gt;nA,8&gt;nC),"",'C8'!$C$35)</f>
        <v/>
      </c>
      <c r="K13" s="49">
        <f>IF(3&gt;nA,"",SUMPRODUCT(INDEX($C13:$J13,1):INDEX($C13:$J13,nC),INDEX($C$7:$J$7,1):INDEX($C$7:$J$7,nC)))</f>
        <v>0.29197250073768793</v>
      </c>
      <c r="L13" s="50">
        <f>IF(3&gt;nA,"",RANK(K13,INDEX($K$11:$K$18,1):INDEX($K$11:$K$18,nA)))</f>
        <v>2</v>
      </c>
    </row>
    <row r="14" spans="2:12" ht="18.95" customHeight="1" x14ac:dyDescent="0.25">
      <c r="B14" s="47" t="str">
        <f>IF(4&gt;nA,"",INDEX(Configuracion!$E$13:$E$20,4))</f>
        <v/>
      </c>
      <c r="C14" s="48" t="str">
        <f>IF(OR(4&gt;nA,1&gt;nC),"",'C1'!$C$36)</f>
        <v/>
      </c>
      <c r="D14" s="48" t="str">
        <f>IF(OR(4&gt;nA,2&gt;nC),"",'C2'!$C$36)</f>
        <v/>
      </c>
      <c r="E14" s="48" t="str">
        <f>IF(OR(4&gt;nA,3&gt;nC),"",'C3'!$C$36)</f>
        <v/>
      </c>
      <c r="F14" s="48" t="str">
        <f>IF(OR(4&gt;nA,4&gt;nC),"",'C4'!$C$36)</f>
        <v/>
      </c>
      <c r="G14" s="48" t="str">
        <f>IF(OR(4&gt;nA,5&gt;nC),"",'C5'!$C$36)</f>
        <v/>
      </c>
      <c r="H14" s="48" t="str">
        <f>IF(OR(4&gt;nA,6&gt;nC),"",'C6'!$C$36)</f>
        <v/>
      </c>
      <c r="I14" s="48" t="str">
        <f>IF(OR(4&gt;nA,7&gt;nC),"",'C7'!$C$36)</f>
        <v/>
      </c>
      <c r="J14" s="48" t="str">
        <f>IF(OR(4&gt;nA,8&gt;nC),"",'C8'!$C$36)</f>
        <v/>
      </c>
      <c r="K14" s="49" t="str">
        <f>IF(4&gt;nA,"",SUMPRODUCT(INDEX($C14:$J14,1):INDEX($C14:$J14,nC),INDEX($C$7:$J$7,1):INDEX($C$7:$J$7,nC)))</f>
        <v/>
      </c>
      <c r="L14" s="50" t="str">
        <f>IF(4&gt;nA,"",RANK(K14,INDEX($K$11:$K$18,1):INDEX($K$11:$K$18,nA)))</f>
        <v/>
      </c>
    </row>
    <row r="15" spans="2:12" ht="18.95" customHeight="1" x14ac:dyDescent="0.25">
      <c r="B15" s="47" t="str">
        <f>IF(5&gt;nA,"",INDEX(Configuracion!$E$13:$E$20,5))</f>
        <v/>
      </c>
      <c r="C15" s="48" t="str">
        <f>IF(OR(5&gt;nA,1&gt;nC),"",'C1'!$C$37)</f>
        <v/>
      </c>
      <c r="D15" s="48" t="str">
        <f>IF(OR(5&gt;nA,2&gt;nC),"",'C2'!$C$37)</f>
        <v/>
      </c>
      <c r="E15" s="48" t="str">
        <f>IF(OR(5&gt;nA,3&gt;nC),"",'C3'!$C$37)</f>
        <v/>
      </c>
      <c r="F15" s="48" t="str">
        <f>IF(OR(5&gt;nA,4&gt;nC),"",'C4'!$C$37)</f>
        <v/>
      </c>
      <c r="G15" s="48" t="str">
        <f>IF(OR(5&gt;nA,5&gt;nC),"",'C5'!$C$37)</f>
        <v/>
      </c>
      <c r="H15" s="48" t="str">
        <f>IF(OR(5&gt;nA,6&gt;nC),"",'C6'!$C$37)</f>
        <v/>
      </c>
      <c r="I15" s="48" t="str">
        <f>IF(OR(5&gt;nA,7&gt;nC),"",'C7'!$C$37)</f>
        <v/>
      </c>
      <c r="J15" s="48" t="str">
        <f>IF(OR(5&gt;nA,8&gt;nC),"",'C8'!$C$37)</f>
        <v/>
      </c>
      <c r="K15" s="49" t="str">
        <f>IF(5&gt;nA,"",SUMPRODUCT(INDEX($C15:$J15,1):INDEX($C15:$J15,nC),INDEX($C$7:$J$7,1):INDEX($C$7:$J$7,nC)))</f>
        <v/>
      </c>
      <c r="L15" s="50" t="str">
        <f>IF(5&gt;nA,"",RANK(K15,INDEX($K$11:$K$18,1):INDEX($K$11:$K$18,nA)))</f>
        <v/>
      </c>
    </row>
    <row r="16" spans="2:12" ht="18.95" customHeight="1" x14ac:dyDescent="0.25">
      <c r="B16" s="47" t="str">
        <f>IF(6&gt;nA,"",INDEX(Configuracion!$E$13:$E$20,6))</f>
        <v/>
      </c>
      <c r="C16" s="48" t="str">
        <f>IF(OR(6&gt;nA,1&gt;nC),"",'C1'!$C$38)</f>
        <v/>
      </c>
      <c r="D16" s="48" t="str">
        <f>IF(OR(6&gt;nA,2&gt;nC),"",'C2'!$C$38)</f>
        <v/>
      </c>
      <c r="E16" s="48" t="str">
        <f>IF(OR(6&gt;nA,3&gt;nC),"",'C3'!$C$38)</f>
        <v/>
      </c>
      <c r="F16" s="48" t="str">
        <f>IF(OR(6&gt;nA,4&gt;nC),"",'C4'!$C$38)</f>
        <v/>
      </c>
      <c r="G16" s="48" t="str">
        <f>IF(OR(6&gt;nA,5&gt;nC),"",'C5'!$C$38)</f>
        <v/>
      </c>
      <c r="H16" s="48" t="str">
        <f>IF(OR(6&gt;nA,6&gt;nC),"",'C6'!$C$38)</f>
        <v/>
      </c>
      <c r="I16" s="48" t="str">
        <f>IF(OR(6&gt;nA,7&gt;nC),"",'C7'!$C$38)</f>
        <v/>
      </c>
      <c r="J16" s="48" t="str">
        <f>IF(OR(6&gt;nA,8&gt;nC),"",'C8'!$C$38)</f>
        <v/>
      </c>
      <c r="K16" s="49" t="str">
        <f>IF(6&gt;nA,"",SUMPRODUCT(INDEX($C16:$J16,1):INDEX($C16:$J16,nC),INDEX($C$7:$J$7,1):INDEX($C$7:$J$7,nC)))</f>
        <v/>
      </c>
      <c r="L16" s="50" t="str">
        <f>IF(6&gt;nA,"",RANK(K16,INDEX($K$11:$K$18,1):INDEX($K$11:$K$18,nA)))</f>
        <v/>
      </c>
    </row>
    <row r="17" spans="2:12" ht="18.95" customHeight="1" x14ac:dyDescent="0.25">
      <c r="B17" s="47" t="str">
        <f>IF(7&gt;nA,"",INDEX(Configuracion!$E$13:$E$20,7))</f>
        <v/>
      </c>
      <c r="C17" s="48" t="str">
        <f>IF(OR(7&gt;nA,1&gt;nC),"",'C1'!$C$39)</f>
        <v/>
      </c>
      <c r="D17" s="48" t="str">
        <f>IF(OR(7&gt;nA,2&gt;nC),"",'C2'!$C$39)</f>
        <v/>
      </c>
      <c r="E17" s="48" t="str">
        <f>IF(OR(7&gt;nA,3&gt;nC),"",'C3'!$C$39)</f>
        <v/>
      </c>
      <c r="F17" s="48" t="str">
        <f>IF(OR(7&gt;nA,4&gt;nC),"",'C4'!$C$39)</f>
        <v/>
      </c>
      <c r="G17" s="48" t="str">
        <f>IF(OR(7&gt;nA,5&gt;nC),"",'C5'!$C$39)</f>
        <v/>
      </c>
      <c r="H17" s="48" t="str">
        <f>IF(OR(7&gt;nA,6&gt;nC),"",'C6'!$C$39)</f>
        <v/>
      </c>
      <c r="I17" s="48" t="str">
        <f>IF(OR(7&gt;nA,7&gt;nC),"",'C7'!$C$39)</f>
        <v/>
      </c>
      <c r="J17" s="48" t="str">
        <f>IF(OR(7&gt;nA,8&gt;nC),"",'C8'!$C$39)</f>
        <v/>
      </c>
      <c r="K17" s="49" t="str">
        <f>IF(7&gt;nA,"",SUMPRODUCT(INDEX($C17:$J17,1):INDEX($C17:$J17,nC),INDEX($C$7:$J$7,1):INDEX($C$7:$J$7,nC)))</f>
        <v/>
      </c>
      <c r="L17" s="50" t="str">
        <f>IF(7&gt;nA,"",RANK(K17,INDEX($K$11:$K$18,1):INDEX($K$11:$K$18,nA)))</f>
        <v/>
      </c>
    </row>
    <row r="18" spans="2:12" ht="18.95" customHeight="1" x14ac:dyDescent="0.25">
      <c r="B18" s="47" t="str">
        <f>IF(8&gt;nA,"",INDEX(Configuracion!$E$13:$E$20,8))</f>
        <v/>
      </c>
      <c r="C18" s="48" t="str">
        <f>IF(OR(8&gt;nA,1&gt;nC),"",'C1'!$C$40)</f>
        <v/>
      </c>
      <c r="D18" s="48" t="str">
        <f>IF(OR(8&gt;nA,2&gt;nC),"",'C2'!$C$40)</f>
        <v/>
      </c>
      <c r="E18" s="48" t="str">
        <f>IF(OR(8&gt;nA,3&gt;nC),"",'C3'!$C$40)</f>
        <v/>
      </c>
      <c r="F18" s="48" t="str">
        <f>IF(OR(8&gt;nA,4&gt;nC),"",'C4'!$C$40)</f>
        <v/>
      </c>
      <c r="G18" s="48" t="str">
        <f>IF(OR(8&gt;nA,5&gt;nC),"",'C5'!$C$40)</f>
        <v/>
      </c>
      <c r="H18" s="48" t="str">
        <f>IF(OR(8&gt;nA,6&gt;nC),"",'C6'!$C$40)</f>
        <v/>
      </c>
      <c r="I18" s="48" t="str">
        <f>IF(OR(8&gt;nA,7&gt;nC),"",'C7'!$C$40)</f>
        <v/>
      </c>
      <c r="J18" s="48" t="str">
        <f>IF(OR(8&gt;nA,8&gt;nC),"",'C8'!$C$40)</f>
        <v/>
      </c>
      <c r="K18" s="49" t="str">
        <f>IF(8&gt;nA,"",SUMPRODUCT(INDEX($C18:$J18,1):INDEX($C18:$J18,nC),INDEX($C$7:$J$7,1):INDEX($C$7:$J$7,nC)))</f>
        <v/>
      </c>
      <c r="L18" s="50" t="str">
        <f>IF(8&gt;nA,"",RANK(K18,INDEX($K$11:$K$18,1):INDEX($K$11:$K$18,nA)))</f>
        <v/>
      </c>
    </row>
    <row r="19" spans="2:12" x14ac:dyDescent="0.25">
      <c r="B19" s="17" t="s">
        <v>148</v>
      </c>
      <c r="K19" s="51">
        <f>SUM(INDEX($K$11:$K$18,1):INDEX($K$11:$K$18,nA))</f>
        <v>1</v>
      </c>
    </row>
    <row r="21" spans="2:12" ht="20.100000000000001" customHeight="1" x14ac:dyDescent="0.25">
      <c r="B21" s="85" t="s">
        <v>149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</row>
    <row r="22" spans="2:12" x14ac:dyDescent="0.25">
      <c r="B22" s="3" t="s">
        <v>150</v>
      </c>
      <c r="C22" s="3" t="s">
        <v>151</v>
      </c>
      <c r="D22" s="80" t="s">
        <v>152</v>
      </c>
      <c r="E22" s="101"/>
      <c r="F22" s="101"/>
      <c r="G22" s="101"/>
      <c r="H22" s="101"/>
      <c r="I22" s="101"/>
      <c r="J22" s="101"/>
      <c r="K22" s="101"/>
      <c r="L22" s="101"/>
    </row>
    <row r="23" spans="2:12" x14ac:dyDescent="0.25">
      <c r="B23" s="23" t="s">
        <v>153</v>
      </c>
      <c r="C23" s="52">
        <f>Criterios!$C$60</f>
        <v>6.7062946741719615E-2</v>
      </c>
      <c r="D23" s="103" t="str">
        <f>IF(Criterios!$C$60&lt;=0.1,"OK","REVISAR esta matriz")</f>
        <v>OK</v>
      </c>
      <c r="E23" s="63"/>
      <c r="F23" s="63"/>
      <c r="G23" s="63"/>
      <c r="H23" s="63"/>
      <c r="I23" s="63"/>
      <c r="J23" s="63"/>
      <c r="K23" s="63"/>
      <c r="L23" s="63"/>
    </row>
    <row r="24" spans="2:12" x14ac:dyDescent="0.25">
      <c r="B24" s="23" t="str">
        <f>IF(1&gt;nC,"(no se usa)","Alternativas segun el criterio 1")</f>
        <v>Alternativas segun el criterio 1</v>
      </c>
      <c r="C24" s="52">
        <f>IF(1&gt;nC,"",'C1'!$C$61)</f>
        <v>0.53226786369838108</v>
      </c>
      <c r="D24" s="103" t="str">
        <f>IF(1&gt;nC,"",IF('C1'!$C$61&lt;=0.1,"OK","REVISAR esta matriz"))</f>
        <v>REVISAR esta matriz</v>
      </c>
      <c r="E24" s="63"/>
      <c r="F24" s="63"/>
      <c r="G24" s="63"/>
      <c r="H24" s="63"/>
      <c r="I24" s="63"/>
      <c r="J24" s="63"/>
      <c r="K24" s="63"/>
      <c r="L24" s="63"/>
    </row>
    <row r="25" spans="2:12" x14ac:dyDescent="0.25">
      <c r="B25" s="23" t="str">
        <f>IF(2&gt;nC,"(no se usa)","Alternativas segun el criterio 2")</f>
        <v>Alternativas segun el criterio 2</v>
      </c>
      <c r="C25" s="52">
        <f>IF(2&gt;nC,"",'C2'!$C$61)</f>
        <v>3.1862831063420509E-3</v>
      </c>
      <c r="D25" s="103" t="str">
        <f>IF(2&gt;nC,"",IF('C2'!$C$61&lt;=0.1,"OK","REVISAR esta matriz"))</f>
        <v>OK</v>
      </c>
      <c r="E25" s="63"/>
      <c r="F25" s="63"/>
      <c r="G25" s="63"/>
      <c r="H25" s="63"/>
      <c r="I25" s="63"/>
      <c r="J25" s="63"/>
      <c r="K25" s="63"/>
      <c r="L25" s="63"/>
    </row>
    <row r="26" spans="2:12" x14ac:dyDescent="0.25">
      <c r="B26" s="23" t="str">
        <f>IF(3&gt;nC,"(no se usa)","Alternativas segun el criterio 3")</f>
        <v>Alternativas segun el criterio 3</v>
      </c>
      <c r="C26" s="52">
        <f>IF(3&gt;nC,"",'C3'!$C$61)</f>
        <v>7.938506010665607E-3</v>
      </c>
      <c r="D26" s="103" t="str">
        <f>IF(3&gt;nC,"",IF('C3'!$C$61&lt;=0.1,"OK","REVISAR esta matriz"))</f>
        <v>OK</v>
      </c>
      <c r="E26" s="63"/>
      <c r="F26" s="63"/>
      <c r="G26" s="63"/>
      <c r="H26" s="63"/>
      <c r="I26" s="63"/>
      <c r="J26" s="63"/>
      <c r="K26" s="63"/>
      <c r="L26" s="63"/>
    </row>
    <row r="27" spans="2:12" x14ac:dyDescent="0.25">
      <c r="B27" s="23" t="str">
        <f>IF(4&gt;nC,"(no se usa)","Alternativas segun el criterio 4")</f>
        <v>Alternativas segun el criterio 4</v>
      </c>
      <c r="C27" s="52">
        <f>IF(4&gt;nC,"",'C4'!$C$61)</f>
        <v>0</v>
      </c>
      <c r="D27" s="103" t="str">
        <f>IF(4&gt;nC,"",IF('C4'!$C$61&lt;=0.1,"OK","REVISAR esta matriz"))</f>
        <v>OK</v>
      </c>
      <c r="E27" s="63"/>
      <c r="F27" s="63"/>
      <c r="G27" s="63"/>
      <c r="H27" s="63"/>
      <c r="I27" s="63"/>
      <c r="J27" s="63"/>
      <c r="K27" s="63"/>
      <c r="L27" s="63"/>
    </row>
    <row r="28" spans="2:12" x14ac:dyDescent="0.25">
      <c r="B28" s="23" t="str">
        <f>IF(5&gt;nC,"(no se usa)","Alternativas segun el criterio 5")</f>
        <v>Alternativas segun el criterio 5</v>
      </c>
      <c r="C28" s="52">
        <f>IF(5&gt;nC,"",'C5'!$C$61)</f>
        <v>0</v>
      </c>
      <c r="D28" s="103" t="str">
        <f>IF(5&gt;nC,"",IF('C5'!$C$61&lt;=0.1,"OK","REVISAR esta matriz"))</f>
        <v>OK</v>
      </c>
      <c r="E28" s="63"/>
      <c r="F28" s="63"/>
      <c r="G28" s="63"/>
      <c r="H28" s="63"/>
      <c r="I28" s="63"/>
      <c r="J28" s="63"/>
      <c r="K28" s="63"/>
      <c r="L28" s="63"/>
    </row>
    <row r="29" spans="2:12" x14ac:dyDescent="0.25">
      <c r="B29" s="23" t="str">
        <f>IF(6&gt;nC,"(no se usa)","Alternativas segun el criterio 6")</f>
        <v>(no se usa)</v>
      </c>
      <c r="C29" s="52" t="str">
        <f>IF(6&gt;nC,"",'C6'!$C$61)</f>
        <v/>
      </c>
      <c r="D29" s="103" t="str">
        <f>IF(6&gt;nC,"",IF('C6'!$C$61&lt;=0.1,"OK","REVISAR esta matriz"))</f>
        <v/>
      </c>
      <c r="E29" s="63"/>
      <c r="F29" s="63"/>
      <c r="G29" s="63"/>
      <c r="H29" s="63"/>
      <c r="I29" s="63"/>
      <c r="J29" s="63"/>
      <c r="K29" s="63"/>
      <c r="L29" s="63"/>
    </row>
    <row r="30" spans="2:12" x14ac:dyDescent="0.25">
      <c r="B30" s="23" t="str">
        <f>IF(7&gt;nC,"(no se usa)","Alternativas segun el criterio 7")</f>
        <v>(no se usa)</v>
      </c>
      <c r="C30" s="52" t="str">
        <f>IF(7&gt;nC,"",'C7'!$C$61)</f>
        <v/>
      </c>
      <c r="D30" s="103" t="str">
        <f>IF(7&gt;nC,"",IF('C7'!$C$61&lt;=0.1,"OK","REVISAR esta matriz"))</f>
        <v/>
      </c>
      <c r="E30" s="63"/>
      <c r="F30" s="63"/>
      <c r="G30" s="63"/>
      <c r="H30" s="63"/>
      <c r="I30" s="63"/>
      <c r="J30" s="63"/>
      <c r="K30" s="63"/>
      <c r="L30" s="63"/>
    </row>
    <row r="31" spans="2:12" x14ac:dyDescent="0.25">
      <c r="B31" s="23" t="str">
        <f>IF(8&gt;nC,"(no se usa)","Alternativas segun el criterio 8")</f>
        <v>(no se usa)</v>
      </c>
      <c r="C31" s="52" t="str">
        <f>IF(8&gt;nC,"",'C8'!$C$61)</f>
        <v/>
      </c>
      <c r="D31" s="103" t="str">
        <f>IF(8&gt;nC,"",IF('C8'!$C$61&lt;=0.1,"OK","REVISAR esta matriz"))</f>
        <v/>
      </c>
      <c r="E31" s="63"/>
      <c r="F31" s="63"/>
      <c r="G31" s="63"/>
      <c r="H31" s="63"/>
      <c r="I31" s="63"/>
      <c r="J31" s="63"/>
      <c r="K31" s="63"/>
      <c r="L31" s="63"/>
    </row>
    <row r="33" spans="2:12" ht="20.100000000000001" customHeight="1" x14ac:dyDescent="0.25">
      <c r="B33" s="83" t="s">
        <v>154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</row>
    <row r="34" spans="2:12" ht="18.75" x14ac:dyDescent="0.25">
      <c r="B34" s="47" t="s">
        <v>155</v>
      </c>
      <c r="C34" s="53">
        <f>MAX(Criterios!$C$60,IF(1&lt;=nC,'C1'!$C$61,0),IF(2&lt;=nC,'C2'!$C$61,0),IF(3&lt;=nC,'C3'!$C$61,0),IF(4&lt;=nC,'C4'!$C$61,0),IF(5&lt;=nC,'C5'!$C$61,0),IF(6&lt;=nC,'C6'!$C$61,0),IF(7&lt;=nC,'C7'!$C$61,0),IF(8&lt;=nC,'C8'!$C$61,0))</f>
        <v>0.53226786369838108</v>
      </c>
    </row>
    <row r="35" spans="2:12" ht="26.1" customHeight="1" x14ac:dyDescent="0.25">
      <c r="B35" s="47" t="s">
        <v>156</v>
      </c>
      <c r="C35" s="104" t="str">
        <f>IF($C$34&gt;0.1,"— (primero corrige la consistencia)",INDEX($B$11:$B$18,MATCH(1,INDEX($L$11:$L$18,1):INDEX($L$11:$L$18,nA),0)))</f>
        <v>— (primero corrige la consistencia)</v>
      </c>
      <c r="D35" s="63"/>
      <c r="E35" s="63"/>
      <c r="F35" s="63"/>
      <c r="G35" s="63"/>
      <c r="H35" s="63"/>
      <c r="I35" s="63"/>
      <c r="J35" s="63"/>
      <c r="K35" s="63"/>
      <c r="L35" s="63"/>
    </row>
    <row r="37" spans="2:12" ht="30" customHeight="1" x14ac:dyDescent="0.25">
      <c r="B37" s="106" t="str">
        <f>IF($C$34&lt;=0.1,"PUEDES TOMAR LA DECISION.  Todas las matrices tienen un CR por debajo del 10%, asi que tus juicios son coherentes y el ranking de arriba es valido. Documenta la matriz y la justificacion: eso es la trazabilidad que pide el proceso DAR de CMMI.",IF($C$34&lt;=0.2,"REVISA ANTES DE DECIDIR.  Hay al menos una matriz con un CR entre 10% y 20%. Mira la tabla de arriba, entra a la hoja marcada en rojo y corrige las comparaciones mas extremas (los 7 y los 9).","HAY QUE REEVALUAR.  Alguna matriz pasa del 20% de inconsistencia: tus comparaciones se contradicen. El resultado NO es fiable todavia. Vuelve a las hojas marcadas en rojo y rehaz esos juicios."))</f>
        <v>HAY QUE REEVALUAR.  Alguna matriz pasa del 20% de inconsistencia: tus comparaciones se contradicen. El resultado NO es fiable todavia. Vuelve a las hojas marcadas en rojo y rehaz esos juicios.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</row>
    <row r="38" spans="2:12" ht="30" customHeight="1" x14ac:dyDescent="0.25"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</row>
    <row r="39" spans="2:12" x14ac:dyDescent="0.25"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</row>
    <row r="41" spans="2:12" ht="26.1" customHeight="1" x14ac:dyDescent="0.25">
      <c r="B41" s="105" t="s">
        <v>157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</row>
    <row r="42" spans="2:12" x14ac:dyDescent="0.25"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</row>
  </sheetData>
  <mergeCells count="19">
    <mergeCell ref="B3:L3"/>
    <mergeCell ref="B21:L21"/>
    <mergeCell ref="D28:L28"/>
    <mergeCell ref="B2:L2"/>
    <mergeCell ref="D25:L25"/>
    <mergeCell ref="D24:L24"/>
    <mergeCell ref="B9:L9"/>
    <mergeCell ref="D22:L22"/>
    <mergeCell ref="B5:L5"/>
    <mergeCell ref="D30:L30"/>
    <mergeCell ref="D29:L29"/>
    <mergeCell ref="D23:L23"/>
    <mergeCell ref="C35:L35"/>
    <mergeCell ref="B41:L42"/>
    <mergeCell ref="D26:L26"/>
    <mergeCell ref="B37:L39"/>
    <mergeCell ref="B33:L33"/>
    <mergeCell ref="D31:L31"/>
    <mergeCell ref="D27:L27"/>
  </mergeCells>
  <conditionalFormatting sqref="B11:L11">
    <cfRule type="expression" dxfId="30" priority="1">
      <formula>AND(1&lt;=nA,$L$11=1)</formula>
    </cfRule>
  </conditionalFormatting>
  <conditionalFormatting sqref="B11:L18">
    <cfRule type="expression" dxfId="29" priority="9">
      <formula>ROW()-10&gt;nA</formula>
    </cfRule>
  </conditionalFormatting>
  <conditionalFormatting sqref="B12:L12">
    <cfRule type="expression" dxfId="28" priority="2">
      <formula>AND(2&lt;=nA,$L$12=1)</formula>
    </cfRule>
  </conditionalFormatting>
  <conditionalFormatting sqref="B13:L13">
    <cfRule type="expression" dxfId="27" priority="3">
      <formula>AND(3&lt;=nA,$L$13=1)</formula>
    </cfRule>
  </conditionalFormatting>
  <conditionalFormatting sqref="B14:L14">
    <cfRule type="expression" dxfId="26" priority="4">
      <formula>AND(4&lt;=nA,$L$14=1)</formula>
    </cfRule>
  </conditionalFormatting>
  <conditionalFormatting sqref="B15:L15">
    <cfRule type="expression" dxfId="25" priority="5">
      <formula>AND(5&lt;=nA,$L$15=1)</formula>
    </cfRule>
  </conditionalFormatting>
  <conditionalFormatting sqref="B16:L16">
    <cfRule type="expression" dxfId="24" priority="6">
      <formula>AND(6&lt;=nA,$L$16=1)</formula>
    </cfRule>
  </conditionalFormatting>
  <conditionalFormatting sqref="B17:L17">
    <cfRule type="expression" dxfId="23" priority="7">
      <formula>AND(7&lt;=nA,$L$17=1)</formula>
    </cfRule>
  </conditionalFormatting>
  <conditionalFormatting sqref="B18:L18">
    <cfRule type="expression" dxfId="22" priority="8">
      <formula>AND(8&lt;=nA,$L$18=1)</formula>
    </cfRule>
  </conditionalFormatting>
  <conditionalFormatting sqref="B37:L39">
    <cfRule type="expression" dxfId="21" priority="29">
      <formula>$C$34&lt;=0.1</formula>
    </cfRule>
    <cfRule type="expression" dxfId="20" priority="30">
      <formula>AND($C$34&gt;0.1,$C$34&lt;=0.2)</formula>
    </cfRule>
    <cfRule type="expression" dxfId="19" priority="31">
      <formula>$C$34&gt;0.2</formula>
    </cfRule>
  </conditionalFormatting>
  <conditionalFormatting sqref="C6:J18">
    <cfRule type="expression" dxfId="18" priority="10">
      <formula>COLUMN()-2&gt;nC</formula>
    </cfRule>
  </conditionalFormatting>
  <pageMargins left="0.3" right="0.3" top="0.4" bottom="0.4" header="0.5" footer="0.5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00000000-000E-0000-0B00-00000B000000}">
            <xm:f>Criterios!$C$60&gt;0.1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12" id="{00000000-000E-0000-0B00-00000C000000}">
            <xm:f>Criterios!$C$60&lt;=0.1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C23:L23</xm:sqref>
        </x14:conditionalFormatting>
        <x14:conditionalFormatting xmlns:xm="http://schemas.microsoft.com/office/excel/2006/main">
          <x14:cfRule type="expression" priority="13" id="{00000000-000E-0000-0B00-00000D000000}">
            <xm:f>AND(1&lt;=nC,'C1'!$C$61&gt;0.1)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14" id="{00000000-000E-0000-0B00-00000E000000}">
            <xm:f>AND(1&lt;=nC,'C1'!$C$61&lt;=0.1)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C24:L24</xm:sqref>
        </x14:conditionalFormatting>
        <x14:conditionalFormatting xmlns:xm="http://schemas.microsoft.com/office/excel/2006/main">
          <x14:cfRule type="expression" priority="15" id="{00000000-000E-0000-0B00-00000F000000}">
            <xm:f>AND(2&lt;=nC,'C2'!$C$61&gt;0.1)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16" id="{00000000-000E-0000-0B00-000010000000}">
            <xm:f>AND(2&lt;=nC,'C2'!$C$61&lt;=0.1)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C25:L25</xm:sqref>
        </x14:conditionalFormatting>
        <x14:conditionalFormatting xmlns:xm="http://schemas.microsoft.com/office/excel/2006/main">
          <x14:cfRule type="expression" priority="17" id="{00000000-000E-0000-0B00-000011000000}">
            <xm:f>AND(3&lt;=nC,'C3'!$C$61&gt;0.1)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18" id="{00000000-000E-0000-0B00-000012000000}">
            <xm:f>AND(3&lt;=nC,'C3'!$C$61&lt;=0.1)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C26:L26</xm:sqref>
        </x14:conditionalFormatting>
        <x14:conditionalFormatting xmlns:xm="http://schemas.microsoft.com/office/excel/2006/main">
          <x14:cfRule type="expression" priority="19" id="{00000000-000E-0000-0B00-000013000000}">
            <xm:f>AND(4&lt;=nC,'C4'!$C$61&gt;0.1)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20" id="{00000000-000E-0000-0B00-000014000000}">
            <xm:f>AND(4&lt;=nC,'C4'!$C$61&lt;=0.1)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C27:L27</xm:sqref>
        </x14:conditionalFormatting>
        <x14:conditionalFormatting xmlns:xm="http://schemas.microsoft.com/office/excel/2006/main">
          <x14:cfRule type="expression" priority="21" id="{00000000-000E-0000-0B00-000015000000}">
            <xm:f>AND(5&lt;=nC,'C5'!$C$61&gt;0.1)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22" id="{00000000-000E-0000-0B00-000016000000}">
            <xm:f>AND(5&lt;=nC,'C5'!$C$61&lt;=0.1)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C28:L28</xm:sqref>
        </x14:conditionalFormatting>
        <x14:conditionalFormatting xmlns:xm="http://schemas.microsoft.com/office/excel/2006/main">
          <x14:cfRule type="expression" priority="23" id="{00000000-000E-0000-0B00-000017000000}">
            <xm:f>AND(6&lt;=nC,'C6'!$C$61&gt;0.1)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24" id="{00000000-000E-0000-0B00-000018000000}">
            <xm:f>AND(6&lt;=nC,'C6'!$C$61&lt;=0.1)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C29:L29</xm:sqref>
        </x14:conditionalFormatting>
        <x14:conditionalFormatting xmlns:xm="http://schemas.microsoft.com/office/excel/2006/main">
          <x14:cfRule type="expression" priority="25" id="{00000000-000E-0000-0B00-000019000000}">
            <xm:f>AND(7&lt;=nC,'C7'!$C$61&gt;0.1)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26" id="{00000000-000E-0000-0B00-00001A000000}">
            <xm:f>AND(7&lt;=nC,'C7'!$C$61&lt;=0.1)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C30:L30</xm:sqref>
        </x14:conditionalFormatting>
        <x14:conditionalFormatting xmlns:xm="http://schemas.microsoft.com/office/excel/2006/main">
          <x14:cfRule type="expression" priority="27" id="{00000000-000E-0000-0B00-00001B000000}">
            <xm:f>AND(8&lt;=nC,'C8'!$C$61&gt;0.1)</xm:f>
            <x14:dxf>
              <font>
                <b/>
                <color rgb="FFC0483C"/>
              </font>
              <fill>
                <patternFill patternType="solid">
                  <fgColor rgb="FFF7E4E2"/>
                  <bgColor rgb="FFF7E4E2"/>
                </patternFill>
              </fill>
            </x14:dxf>
          </x14:cfRule>
          <x14:cfRule type="expression" priority="28" id="{00000000-000E-0000-0B00-00001C000000}">
            <xm:f>AND(8&lt;=nC,'C8'!$C$61&lt;=0.1)</xm:f>
            <x14:dxf>
              <font>
                <b/>
                <color rgb="FF2B8A6D"/>
              </font>
              <fill>
                <patternFill patternType="solid">
                  <fgColor rgb="FFE0F2EC"/>
                  <bgColor rgb="FFE0F2EC"/>
                </patternFill>
              </fill>
            </x14:dxf>
          </x14:cfRule>
          <xm:sqref>C31:L31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2C63-23AA-40FE-A2AA-3A11D2DC55A1}">
  <dimension ref="A1:G19"/>
  <sheetViews>
    <sheetView workbookViewId="0">
      <selection activeCell="B2" sqref="B2:F6"/>
    </sheetView>
  </sheetViews>
  <sheetFormatPr baseColWidth="10" defaultRowHeight="15" x14ac:dyDescent="0.25"/>
  <cols>
    <col min="2" max="3" width="11.85546875" bestFit="1" customWidth="1"/>
  </cols>
  <sheetData>
    <row r="1" spans="1:7" ht="18.75" x14ac:dyDescent="0.3">
      <c r="A1" s="55" t="s">
        <v>142</v>
      </c>
      <c r="B1" s="55" t="s">
        <v>143</v>
      </c>
      <c r="C1" s="55" t="s">
        <v>173</v>
      </c>
      <c r="D1" s="55" t="s">
        <v>174</v>
      </c>
      <c r="E1" s="55" t="s">
        <v>175</v>
      </c>
      <c r="F1" s="55" t="s">
        <v>161</v>
      </c>
      <c r="G1" s="55" t="s">
        <v>162</v>
      </c>
    </row>
    <row r="2" spans="1:7" x14ac:dyDescent="0.25">
      <c r="B2" s="54">
        <v>0.4</v>
      </c>
      <c r="C2">
        <v>1</v>
      </c>
      <c r="D2">
        <v>0</v>
      </c>
    </row>
    <row r="3" spans="1:7" x14ac:dyDescent="0.25">
      <c r="B3" s="54">
        <v>0.5</v>
      </c>
      <c r="C3">
        <v>1</v>
      </c>
      <c r="D3">
        <v>0</v>
      </c>
    </row>
    <row r="4" spans="1:7" x14ac:dyDescent="0.25">
      <c r="B4" s="54"/>
    </row>
    <row r="5" spans="1:7" x14ac:dyDescent="0.25">
      <c r="B5" s="54">
        <v>0.1</v>
      </c>
      <c r="C5">
        <v>0</v>
      </c>
      <c r="D5">
        <v>1</v>
      </c>
    </row>
    <row r="6" spans="1:7" ht="15.75" x14ac:dyDescent="0.25">
      <c r="B6" s="56">
        <f>SUM(B2:B5)</f>
        <v>1</v>
      </c>
      <c r="C6" s="57">
        <f>SUMIF(C2:C5,1,$B$2:$B$5)</f>
        <v>0.9</v>
      </c>
      <c r="D6" s="57">
        <f t="shared" ref="D6:G6" si="0">SUMIF(D2:D5,1,$B$2:$B$5)</f>
        <v>0.1</v>
      </c>
      <c r="E6" s="57">
        <f t="shared" si="0"/>
        <v>0</v>
      </c>
      <c r="F6" s="57">
        <f t="shared" si="0"/>
        <v>0</v>
      </c>
      <c r="G6" s="57">
        <f t="shared" si="0"/>
        <v>0</v>
      </c>
    </row>
    <row r="14" spans="1:7" ht="18.75" x14ac:dyDescent="0.3">
      <c r="A14" s="55" t="s">
        <v>142</v>
      </c>
      <c r="B14" s="55" t="s">
        <v>143</v>
      </c>
      <c r="C14" s="55" t="s">
        <v>158</v>
      </c>
      <c r="D14" s="55" t="s">
        <v>159</v>
      </c>
      <c r="E14" s="55" t="s">
        <v>160</v>
      </c>
      <c r="F14" s="55" t="s">
        <v>161</v>
      </c>
      <c r="G14" s="55" t="s">
        <v>162</v>
      </c>
    </row>
    <row r="15" spans="1:7" x14ac:dyDescent="0.25">
      <c r="B15" s="58">
        <v>5</v>
      </c>
      <c r="C15">
        <v>1</v>
      </c>
      <c r="D15">
        <v>0</v>
      </c>
    </row>
    <row r="16" spans="1:7" x14ac:dyDescent="0.25">
      <c r="B16" s="58">
        <v>4</v>
      </c>
      <c r="C16">
        <v>1</v>
      </c>
      <c r="D16">
        <v>0</v>
      </c>
    </row>
    <row r="17" spans="2:7" x14ac:dyDescent="0.25">
      <c r="B17" s="58">
        <v>4</v>
      </c>
    </row>
    <row r="18" spans="2:7" x14ac:dyDescent="0.25">
      <c r="B18" s="58">
        <v>1</v>
      </c>
      <c r="C18">
        <v>0</v>
      </c>
      <c r="D18">
        <v>1</v>
      </c>
    </row>
    <row r="19" spans="2:7" ht="15.75" x14ac:dyDescent="0.25">
      <c r="B19" s="59">
        <f>SUM(B15:B18)</f>
        <v>14</v>
      </c>
      <c r="C19" s="59">
        <f>SUMPRODUCT($B$15:$B$18,C$15:C$18)</f>
        <v>9</v>
      </c>
      <c r="D19" s="59">
        <f t="shared" ref="D19:G19" si="1">SUMPRODUCT($B$15:$B$18,D$15:D$18)</f>
        <v>1</v>
      </c>
      <c r="E19" s="59">
        <f t="shared" si="1"/>
        <v>0</v>
      </c>
      <c r="F19" s="59">
        <f t="shared" si="1"/>
        <v>0</v>
      </c>
      <c r="G19" s="59">
        <f t="shared" si="1"/>
        <v>0</v>
      </c>
    </row>
  </sheetData>
  <phoneticPr fontId="45" type="noConversion"/>
  <conditionalFormatting sqref="C6:G6">
    <cfRule type="top10" priority="2" percent="1" rank="1"/>
  </conditionalFormatting>
  <conditionalFormatting sqref="C19:G19">
    <cfRule type="top10" priority="1" percent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Instrucciones</vt:lpstr>
      <vt:lpstr>Configuracion</vt:lpstr>
      <vt:lpstr>Criterios</vt:lpstr>
      <vt:lpstr>C1</vt:lpstr>
      <vt:lpstr>C2</vt:lpstr>
      <vt:lpstr>C3</vt:lpstr>
      <vt:lpstr>C4</vt:lpstr>
      <vt:lpstr>C5</vt:lpstr>
      <vt:lpstr>C6</vt:lpstr>
      <vt:lpstr>C7</vt:lpstr>
      <vt:lpstr>C8</vt:lpstr>
      <vt:lpstr>Resultado</vt:lpstr>
      <vt:lpstr>MATRIZ PONDERADA</vt:lpstr>
      <vt:lpstr>Alternativas_nombres</vt:lpstr>
      <vt:lpstr>Criterios_nombres</vt:lpstr>
      <vt:lpstr>nA</vt:lpstr>
      <vt:lpstr>nC</vt:lpstr>
      <vt:lpstr>RI_tabla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Velez Alcaraz</cp:lastModifiedBy>
  <dcterms:created xsi:type="dcterms:W3CDTF">2026-09-23T00:12:58Z</dcterms:created>
  <dcterms:modified xsi:type="dcterms:W3CDTF">2026-09-23T23:00:06Z</dcterms:modified>
</cp:coreProperties>
</file>