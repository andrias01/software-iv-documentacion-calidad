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iones" sheetId="1" r:id="rId5"/>
    <sheet state="visible" name="Resumen" sheetId="2" r:id="rId6"/>
    <sheet state="visible" name="Ajuste" sheetId="3" r:id="rId7"/>
    <sheet state="visible" name="Calculo Esfuerzo" sheetId="4" r:id="rId8"/>
    <sheet state="visible" name="Instrucciones" sheetId="5" r:id="rId9"/>
  </sheets>
  <definedNames>
    <definedName hidden="1" localSheetId="0" name="_xlnm._FilterDatabase">Funciones!$A$4:$J$42</definedName>
  </definedNames>
  <calcPr/>
</workbook>
</file>

<file path=xl/sharedStrings.xml><?xml version="1.0" encoding="utf-8"?>
<sst xmlns="http://schemas.openxmlformats.org/spreadsheetml/2006/main" count="329" uniqueCount="183">
  <si>
    <t>RESUMEN DE LA ESTIMACIÓN</t>
  </si>
  <si>
    <t>PLANTILLA DE CÁLCULO DE PUNTOS DE FUNCIÓN</t>
  </si>
  <si>
    <t>CALCULO DE ESFUERZO</t>
  </si>
  <si>
    <t>Tipo</t>
  </si>
  <si>
    <t>Cantidad</t>
  </si>
  <si>
    <t>Puntos de Función</t>
  </si>
  <si>
    <t>EI</t>
  </si>
  <si>
    <t>FACTOR DE AJUSTE (VAF)</t>
  </si>
  <si>
    <t>Sistema / Proyecto: SIGRA   Equipo: #B</t>
  </si>
  <si>
    <t>Grupo de Trabajo (Nro Personas)</t>
  </si>
  <si>
    <t>EO</t>
  </si>
  <si>
    <t>Aspecto técnico que se evalúa</t>
  </si>
  <si>
    <t>Qué tanto influye esa característica</t>
  </si>
  <si>
    <t>Jornada Productiva</t>
  </si>
  <si>
    <t>Dias Laborables</t>
  </si>
  <si>
    <t>Por qué asignaste ese valor</t>
  </si>
  <si>
    <t>Peso o grado de influencia asociado</t>
  </si>
  <si>
    <t>Productividad (Horas/PF)</t>
  </si>
  <si>
    <t>EQ</t>
  </si>
  <si>
    <t>Resultado del valor × GSC</t>
  </si>
  <si>
    <t xml:space="preserve">Esfuerzo Horas / Persona </t>
  </si>
  <si>
    <t>ID</t>
  </si>
  <si>
    <t>Función / Requisito</t>
  </si>
  <si>
    <t>Tipo (EI/EO/EQ/ILF/EIF)</t>
  </si>
  <si>
    <t>Descripción / Justificación</t>
  </si>
  <si>
    <t>Característica general del sistema</t>
  </si>
  <si>
    <t>DET</t>
  </si>
  <si>
    <t>FTR / RET</t>
  </si>
  <si>
    <t>Complejidad</t>
  </si>
  <si>
    <t>Peso</t>
  </si>
  <si>
    <t>Responsable</t>
  </si>
  <si>
    <t>Valor (0-5)</t>
  </si>
  <si>
    <t>Justificación</t>
  </si>
  <si>
    <t>ILF</t>
  </si>
  <si>
    <t>GSC</t>
  </si>
  <si>
    <t>Contribución</t>
  </si>
  <si>
    <t>registrar profesores</t>
  </si>
  <si>
    <t>Comunicación de datos</t>
  </si>
  <si>
    <t>EIF</t>
  </si>
  <si>
    <t>Archivo lógico mantenido por el sistema. DET: Nombre completo, Correo institucional, Cédula, Estado (4). RET=1.</t>
  </si>
  <si>
    <t>Duración de Proyecto (h)</t>
  </si>
  <si>
    <t>Baja</t>
  </si>
  <si>
    <t>SIGRA es una aplicación web totalmente interactiva: el navegador se comunica con la API por HTTPS y todo el trabajo se hace en línea, no hay procesos por lotes. Uso 4 y no 5 porque solo se maneja un protocolo (HTTP/HTTPS) y no hay integraciones con sistemas externos de la universidad.</t>
  </si>
  <si>
    <t>TOTAL</t>
  </si>
  <si>
    <t>Duración de Proyecto en Meses</t>
  </si>
  <si>
    <t>Escala de pesos utilizada</t>
  </si>
  <si>
    <t>Media</t>
  </si>
  <si>
    <t>Alta</t>
  </si>
  <si>
    <t>Procesamiento distribuido</t>
  </si>
  <si>
    <t>El sistema está partido en frontend (Angular) y backend (API en Java), y los datos viajan en línea entre los dos en ambos sentidos. Pero todo el procesamiento real ocurre en un solo servidor: no hay varios nodos repartiéndose el trabajo ni balanceo de carga, por eso me quedo en 3 y no subo más.</t>
  </si>
  <si>
    <t>Rendimiento</t>
  </si>
  <si>
    <t>Hay tiempos de respuesta escritos y medibles en los RNF (entre 3 y 5 segundos por operación, con 20 usuarios al mismo tiempo), o sea que sí es algo que toca cumplir durante toda la jornada. Aun así no es tiempo real ni carga alta, así que no exige un diseño especial de arquitectura pensado solo en rendimiento.</t>
  </si>
  <si>
    <t>Jean Paul Ortiz</t>
  </si>
  <si>
    <t>Configuración altamente utilizada</t>
  </si>
  <si>
    <t>Campos: Nombre completo, Correo, Cédula (3) + botón "Registrar" (1) + mensaje éxito/error (1). FTR: Profesor (mantiene) = 1.</t>
  </si>
  <si>
    <t>El SRS dice que no hay restricciones importantes de infraestructura. El sistema corre en un servidor normal de la universidad, entonces sí existe una restricción (compartir ese servidor), pero es leve y no obliga a hacer nada especial en el diseño.</t>
  </si>
  <si>
    <t>consultar profesores</t>
  </si>
  <si>
    <t xml:space="preserve">	Campos mostrados: Nombre, Correo, Cédula, Estado (4) + filtro de búsqueda (1). FTR: Profesor (referencia) = 1.</t>
  </si>
  <si>
    <t>Frecuencia de transacciones</t>
  </si>
  <si>
    <t>Los picos de uso se dan en el cierre de notas y al final del semestre. Es un pico previsible, pero ocurre cada varios meses, no todos los días ni todas las semanas; el resto del tiempo el uso es bajo con unos 20 usuarios.</t>
  </si>
  <si>
    <t>Entrada de datos en línea</t>
  </si>
  <si>
    <t>El 100% de la información entra en línea por formularios web: el catálogo (profesores, programas, asignaturas), los RA, las actividades evaluativas, las notas, las observaciones y las matrículas. No existe ningún proceso batch ni carga de archivos por lotes, así que va en el máximo.</t>
  </si>
  <si>
    <t>Eficiencia del usuario final</t>
  </si>
  <si>
    <t>Se piden varias cosas de usabilidad al tiempo: diseño responsive, menús que cambian según el rol, filtros de búsqueda en casi todos los listados, mensajes de error claros y accesibilidad WCAG 2.1 AA (navegación por teclado, contraste y etiquetas ARIA). Son más de seis factores y además la accesibilidad es un requisito obligatorio, no un "sería bueno".</t>
  </si>
  <si>
    <t>Actualización en línea</t>
  </si>
  <si>
    <t>Casi todos los archivos lógicos del sistema (Profesor, Programa, Asignatura, RA, Evaluación, Calificación, Matrícula) se actualizan en línea desde la interfaz. Hay respaldos y eliminación lógica para no perder datos, pero no hay un mecanismo especial de recuperación automática, por eso no subo a 4.</t>
  </si>
  <si>
    <t>Procesamiento complejo</t>
  </si>
  <si>
    <t>Cuento dos factores: seguridad (RBAC validado en cada endpoint del backend y bloqueo de la cuenta tras 5 intentos fallidos) y lógica de negocio con varias reglas cruzadas (de 5 a 7 RA por asignatura, que los porcentajes de las actividades no pasen del 100%, el umbral del nivel de logro). No hay matemática pesada: los cálculos son promedios y comparaciones.</t>
  </si>
  <si>
    <t xml:space="preserve">modificar profesores </t>
  </si>
  <si>
    <t>Nombre, Correo (editables, 2) + Cédula (mostrada, bloqueada, 1) + botón "Guardar" (1) + mensaje (1). FTR: Profesor (mantiene) = 1.</t>
  </si>
  <si>
    <t>Reusabilidad</t>
  </si>
  <si>
    <t>Sí se reutiliza código dentro del mismo sistema (componentes de formulario, tablas con filtros, validaciones compartidas), pero nada está empaquetado ni documentado para usarlo en otro proyecto. Es reúso interno, que corresponde al nivel 1.</t>
  </si>
  <si>
    <t>inactivar profesores</t>
  </si>
  <si>
    <t>Botón "Inactivar" (1) + mensaje éxito/error con motivo (1). FTR: Profesor (mantiene) + Asignatura (referencia) = 2.</t>
  </si>
  <si>
    <t>Facilidad de instalación</t>
  </si>
  <si>
    <t>Es un despliegue nuevo y no hay que migrar datos de un sistema viejo. Igual toca hacer una instalación: montar la base de datos, desplegar el backend y el frontend y crear el usuario administrador inicial. O sea, hay setup pero sin requisitos especiales de conversión.</t>
  </si>
  <si>
    <t>registrar programas academicos</t>
  </si>
  <si>
    <t>Archivo lógico mantenido. DET: Nombre, Código, Estado (3). RET=1.</t>
  </si>
  <si>
    <t>Objetivo</t>
  </si>
  <si>
    <t>Registrar y consolidar las funciones identificadas para calcular Puntos de Función.</t>
  </si>
  <si>
    <t>Paso 1</t>
  </si>
  <si>
    <t>En 'Funciones', registre cada función o requisito analizado.</t>
  </si>
  <si>
    <t>Paso 2</t>
  </si>
  <si>
    <t>Seleccione el tipo: EI, EO, EQ, ILF o EIF.</t>
  </si>
  <si>
    <t>Paso 3</t>
  </si>
  <si>
    <t>Registre DET y FTR/RET según la metodología trabajada en clase.</t>
  </si>
  <si>
    <t>Nombre, Código (2) + botón "Registrar" (1) + mensaje (1). FTR: Programa (mantiene) = 1.</t>
  </si>
  <si>
    <t>Paso 4</t>
  </si>
  <si>
    <t>Seleccione la complejidad: Baja, Media o Alta.</t>
  </si>
  <si>
    <t>Paso 5</t>
  </si>
  <si>
    <t>El peso y los Puntos de Función se calculan automáticamente.</t>
  </si>
  <si>
    <t>Paso 6</t>
  </si>
  <si>
    <t>Revise el total en 'Resumen'.</t>
  </si>
  <si>
    <t>Opcional</t>
  </si>
  <si>
    <t>Si utilizan factor de ajuste, complete la hoja 'Ajuste' con valores de 0 a 5 y justifique cada valoración.</t>
  </si>
  <si>
    <t>consultar programas academicos</t>
  </si>
  <si>
    <t>Criterio</t>
  </si>
  <si>
    <t>Facilidad de operación</t>
  </si>
  <si>
    <t>Nombre, Código, Estado (3) + filtro (1). FTR: Programa (referencia) = 1.</t>
  </si>
  <si>
    <t>No clasifique por pantalla o por cantidad de campos. Justifique la función, la frontera y los grupos lógicos de datos.</t>
  </si>
  <si>
    <t>Nota</t>
  </si>
  <si>
    <t>La plantilla usa la matriz clásica de pesos: EI 3/4/6, EO 4/5/7, EQ 3/4/6, ILF 7/10/15 y EIF 5/7/10.</t>
  </si>
  <si>
    <t>Hay respaldos periódicos y un tiempo de recuperación definido (MTTR menor o igual a 4 horas), pero los ejecuta o los programa el administrador: no es automático ni desatendido. Sumo también que el sistema no maneja papel ni medios físicos. Entre las dos cosas da 2.</t>
  </si>
  <si>
    <t>Múltiples instalaciones</t>
  </si>
  <si>
    <t>El sistema se hizo para una sola institución, la Universidad Católica de Oriente, y para un solo despliegue. No hay requisito de multi-tenencia ni de instalarlo en varias sedes con configuraciones distintas.</t>
  </si>
  <si>
    <t>Facilidad de cambio</t>
  </si>
  <si>
    <t>A favor: casi todos los listados tienen consultas flexibles con varios filtros combinables (programa, nombre, código, estado) y se pueden activar o inactivar registros en línea sin tocar código. En contra: las categorías de nivel de logro y sus umbrales están fijos en el código y el usuario no los puede parametrizar en esta versión.</t>
  </si>
  <si>
    <t>Ajuste de Complejidad Tecnica (ACT)</t>
  </si>
  <si>
    <t>modificar programas academicos</t>
  </si>
  <si>
    <t>El Administrador modifica el nombre de un programa académico existente. El código no puede modificarse. Es una entrada que mantiene/actualiza información del ILF Programa Académico.</t>
  </si>
  <si>
    <t>Juan Jose Narvaez</t>
  </si>
  <si>
    <t>inactivar programas academicos</t>
  </si>
  <si>
    <t>El Administrador solicita la inactivación de un programa. El sistema verifica que no tenga asignaturas activas y, si cumple, cambia su estado mediante eliminación lógica.</t>
  </si>
  <si>
    <t>Complejidad del Proceso Ajustada (ACTA)</t>
  </si>
  <si>
    <t>registrar materias</t>
  </si>
  <si>
    <t>Archivo lógico mantenido. DET: Nombre, Código, Programa asociado</t>
  </si>
  <si>
    <t xml:space="preserve">Campos: Nombre, Código, Programa académico (3) + botón (1) + mensaje (1). </t>
  </si>
  <si>
    <t>Total de Puntos de Fucion Ajustados (PFA)</t>
  </si>
  <si>
    <t>consultar materias</t>
  </si>
  <si>
    <t xml:space="preserve">El Administrador o Profesor consulta el listado de asignaturas utilizando filtros por programa, nombre, código o estado. </t>
  </si>
  <si>
    <t>modificar materias</t>
  </si>
  <si>
    <t>El Administrador modifica el nombre de una asignatura existente. El código y el programa académico asociado permanecen sin cambios.</t>
  </si>
  <si>
    <t>activar/inactivar materias</t>
  </si>
  <si>
    <t>El Administrador cambia una asignatura Activa/Inactiva. Antes debe verificar que no existan evaluaciones abiertas del semestre para eliminar; si existen, requiere confirmación explícita.</t>
  </si>
  <si>
    <t>autorizacion de usuarios</t>
  </si>
  <si>
    <t xml:space="preserve">        Guarda los datos del usuario: correo, contraseña, rol y estado. Es un solo bloque de datos.</t>
  </si>
  <si>
    <t>Santiago Torres</t>
  </si>
  <si>
    <t>El admin le da acceso a un usuario asignándole un rol. Campos + botón + mensaje. Solo usa el archivo de usuario.</t>
  </si>
  <si>
    <t>Control de acceso basado en roles (RBAC)</t>
  </si>
  <si>
    <t>NO es un proceso elemental transaccional: es una regla de autorización transversal aplicada dentro de TODOS los demás EI/EO/EQ del sistema (oculta opciones de menú y rechaza solicitudes 403 según el rol). No mantiene ni consulta por sí sola un archivo de negocio de forma independiente, por lo que no genera puntos de función propios.</t>
  </si>
  <si>
    <t>Registrar RA</t>
  </si>
  <si>
    <t>Guarda cada resultado de aprendizaje: código, descripción, umbral y asignatura.</t>
  </si>
  <si>
    <t>Se crea un RA nuevo con sus datos y se asocia a una asignatura. Toca el archivo de RA y el de asignatura.</t>
  </si>
  <si>
    <t>Consultar RA</t>
  </si>
  <si>
    <t>Se muestra la lista de RA con filtro de búsqueda. Consulta el archivo de RA y el de asignatura.</t>
  </si>
  <si>
    <t>Modificar/Inactivar RA</t>
  </si>
  <si>
    <t>Se edita la descripción o el estado de un RA. Solo usa el archivo de RA.</t>
  </si>
  <si>
    <t>Asignación docente de asignaturas</t>
  </si>
  <si>
    <t>Se asigna un profesor a una asignatura. Usa el archivo de profesor y el de asignatura.</t>
  </si>
  <si>
    <t>Matrícula  de estudiantes</t>
  </si>
  <si>
    <t>Guarda qué estudiante está matriculado en qué asignatura y cuándo.</t>
  </si>
  <si>
    <t>Se matricula un estudiante en una asignatura. Toca tres archivos: matrícula, estudiante y asignatura.</t>
  </si>
  <si>
    <t>desvinculación de estudiantes</t>
  </si>
  <si>
    <t>Se retira a un estudiante de una asignatura, con motivo. Usa el archivo de matrícula y el de estudiante.</t>
  </si>
  <si>
    <t>Registro de estudiantes nuevos por el docente</t>
  </si>
  <si>
    <t>Es el lugar donde el sistema guarda los datos básicos del profesor: nombre completo, cédula y correo institucional (estos tres campos son el DET). Como esta información se maneja de forma uniforme, sin partes separadas, se cuenta como un solo bloque de datos (RET = 1).</t>
  </si>
  <si>
    <t>Simón Tabares</t>
  </si>
  <si>
    <t>El docente registra un estudiante nuevo con su nombre completo, cédula y correo institucional, y confirma con el botón "Registrar". El sistema valida que la cédula no esté repetida (DET = 5). Al guardar, el estudiante queda creado y automáticamente asociado a la asignatura, por lo que toca dos archivos: Estudiante y Matrícula (FTR = 2).</t>
  </si>
  <si>
    <t>Crear actividad evaluativa por RA</t>
  </si>
  <si>
    <t>Es el lugar donde el sistema guarda la información de cada acción de mejora: nombre, fecha tentativa, porcentaje, descripción, RA asociado y estado (estos seis campos son el DET). Como esta información se maneja de forma uniforme, sin partes separadas, se cuenta como un solo bloque de datos (RET = 1).</t>
  </si>
  <si>
    <t>El profesor registra una acción de mejora con nombre, fecha tentativa, porcentaje y descripción, y confirma con el botón de guardar. El sistema valida que la suma de los porcentajes no supere el 100% (DET = 6). Al guardar, la información queda en el archivo de Evaluación, y además se consulta el archivo de RA para confirmar la asociación correcta (FTR = 2).</t>
  </si>
  <si>
    <t>Modificar actividad evaluativa por RA</t>
  </si>
  <si>
    <t>El profesor modifica una acción de mejora ya registrada, ajustando los mismos campos (nombre, fecha tentativa, porcentaje y descripción), aunque algunos quedan bloqueados si ya existen calificaciones asociadas. Confirma con el botón de guardar, y el sistema muestra un mensaje de confirmación o error (DET = 6). Al guardar, la información se actualiza en el archivo de Evaluación, y se consulta el archivo de Calificación para saber qué campos deben quedar bloqueados (FTR = 2).</t>
  </si>
  <si>
    <t>Activar/Inactivar actividad evaluativa por RA</t>
  </si>
  <si>
    <t>El profesor activa o inactiva una acción de mejora con un botón de cambio de estado, y el sistema muestra un mensaje de confirmación o error (DET = 2). Al guardar, la información se actualiza directamente en el archivo de Evaluación (FTR = 1).</t>
  </si>
  <si>
    <t>Registro de calificaciones y observaciones</t>
  </si>
  <si>
    <t>Se guarda la información de cada calificación y observación. Los campos almacenados son estudiante, actividad evaluativa, nota, observación, fecha de registro y fecha de modificación. La información pertenece a un solo grupo lógico de calificaciones.</t>
  </si>
  <si>
    <t>Jose Alejandro Valencia</t>
  </si>
  <si>
    <t>Los campos requeridos para registrar o modificar una calificación son estudiante, actividad evaluativa, nota y observación. La función guarda la calificación y consulta la actividad evaluativa relacionada.</t>
  </si>
  <si>
    <t>Control de trazabilidad en fechas de registro</t>
  </si>
  <si>
    <t>Para registrar la trazabilidad se utilizan la calificación asociada, la fecha, la hora y el tipo de operación (registro o modificación). La función guarda estos datos en el historial y consulta la calificación relacionada.</t>
  </si>
  <si>
    <t>Cálculo y clasificación del nivel de logro</t>
  </si>
  <si>
    <t>Para cada estudiante y RA se muestra el resultado numérico calculado y su nivel de logro (Bajo, Medio, Alto o Sobresaliente). Para obtenerlo se consultan las calificaciones, las evaluaciones y los RA.</t>
  </si>
  <si>
    <t>Generación de estadísticas descriptivas</t>
  </si>
  <si>
    <t>Las estadísticas muestran por cada RA el promedio, el nivel de logro y la cantidad de estudiantes ubicada en cada nivel. Para generarlas se consultan las calificaciones, las evaluaciones y los RA.</t>
  </si>
  <si>
    <t>Generación de conclusiones y sugerencias de mejora</t>
  </si>
  <si>
    <t>Para cada RA se muestra el promedio, una conclusión sobre el desempeño y la sugerencia de mejora correspondiente. Para generar el resultado se consultan las calificaciones, las evaluaciones y los RA.</t>
  </si>
  <si>
    <t>Registro de acciones de mejora</t>
  </si>
  <si>
    <t>Se guarda la información de cada acción de mejora. Los campos almacenados son nombre, descripción, fecha propuesta y RA asociado. La información pertenece a un solo grupo lógico de acciones de mejora.</t>
  </si>
  <si>
    <t>Se registra una acción de mejora para un RA rellenando los campos de nombre, descripción y la fecha propuesta para la acción de mejora. Además, se debe de tener en cuenta el botón y el mensaje de éxito/error. Entre los archivos relacionados se encuentran el de acción de mejora, el de los RA y el de las calificaciones.</t>
  </si>
  <si>
    <t>Juan Camilo Bernal</t>
  </si>
  <si>
    <t>Conversión de acciones de mejora en evaluaciones</t>
  </si>
  <si>
    <t>Se debe poder realizar una conversión de las acciones de mejora en nuevas evaluaciones, permitiendo asignar nueva fecha, nuevo porcentaje, junto al nombre, RA y descripción que ya se tenían anteriormente. Además se tiene en cuenta el botón de asignación y el mensaje de éxito/error. Se ven involucrados los archivos de evaluación, acciones de mejora y RA.</t>
  </si>
  <si>
    <t>Conservación del historial y auditoría</t>
  </si>
  <si>
    <t>Se persiste un archivo interno en el que se mantienen las transacciones del sistema con el usuario, la fecha, la hora, la acción realizada y el resultado.</t>
  </si>
  <si>
    <t>Módulo de consulta para Profesores</t>
  </si>
  <si>
    <t>El usuario con rol de profesor puede consultar las asignaturas que tiene a su cargo, las notas, observaciones y niveles de logro de los mismos. Los archivos relacionados son los de evaluación, calificaciones, estudiantes y RA.</t>
  </si>
  <si>
    <t>Reporte de RA por asignatura</t>
  </si>
  <si>
    <t>Se genera un reporte de los RA por cada asignatura, indicando el nombre de la asignatura, el código de la asignatura, el código del RA, la nota (promedio), la categoría de logro y la gráfica. Por otro lado, se tienen en cuenta  los mensajes de éxito/error. Loa archivos relacionados son el de RA, calificaciones y asignaturas.</t>
  </si>
  <si>
    <t>Reporte de niveles de logro agregados por programa</t>
  </si>
  <si>
    <t>Se genera un reporte de los niveles de logro por cada programa, indicando campos como el programa, el semestre y los niveles de logro, además de un mensaje de éxito/error. Los archivos relacionados son los de programa, calificación, RA y asignatura.</t>
  </si>
  <si>
    <t>Historial de auditoría completo</t>
  </si>
  <si>
    <t>Se consulta el historial de auditoría completo con los campos de usuario, fecha, hora, acción, resultado, botón de consultar/filtrar y mensaje de éxito/error. Los archivos relacionados tienen que ver con el de historial solamente.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</si>
</sst>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8.0"/>
      <color rgb="FFFFFFFF"/>
      <name val="Calibri"/>
    </font>
    <font/>
    <font>
      <b/>
      <sz val="11.0"/>
      <color rgb="FFFFFFFF"/>
      <name val="Calibri"/>
    </font>
    <font>
      <b/>
      <sz val="10.0"/>
      <color theme="1"/>
      <name val="Arial"/>
    </font>
    <font>
      <sz val="11.0"/>
      <color theme="1"/>
      <name val="Calibri"/>
    </font>
    <font>
      <color theme="1"/>
      <name val="Calibri"/>
      <scheme val="minor"/>
    </font>
    <font>
      <sz val="10.0"/>
      <color theme="1"/>
      <name val="Arial"/>
    </font>
    <font>
      <b/>
      <sz val="11.0"/>
      <color rgb="FF17365D"/>
      <name val="Calibri"/>
    </font>
    <font>
      <b/>
      <sz val="13.0"/>
      <color rgb="FF17365D"/>
      <name val="Calibri"/>
    </font>
    <font>
      <b/>
      <sz val="11.0"/>
      <color theme="1"/>
      <name val="Calibri"/>
    </font>
    <font>
      <sz val="11.0"/>
      <color rgb="FF000000"/>
      <name val="Calibri"/>
    </font>
  </fonts>
  <fills count="8">
    <fill>
      <patternFill patternType="none"/>
    </fill>
    <fill>
      <patternFill patternType="lightGray"/>
    </fill>
    <fill>
      <patternFill patternType="solid">
        <fgColor rgb="FF17365D"/>
        <bgColor rgb="FF17365D"/>
      </patternFill>
    </fill>
    <fill>
      <patternFill patternType="solid">
        <fgColor rgb="FF2F75B5"/>
        <bgColor rgb="FF2F75B5"/>
      </patternFill>
    </fill>
    <fill>
      <patternFill patternType="solid">
        <fgColor rgb="FFC0C0C0"/>
        <bgColor rgb="FFC0C0C0"/>
      </patternFill>
    </fill>
    <fill>
      <patternFill patternType="solid">
        <fgColor rgb="FFFFFFFF"/>
        <bgColor rgb="FFFFFFFF"/>
      </patternFill>
    </fill>
    <fill>
      <patternFill patternType="solid">
        <fgColor rgb="FFEAF3F8"/>
        <bgColor rgb="FFEAF3F8"/>
      </patternFill>
    </fill>
    <fill>
      <patternFill patternType="solid">
        <fgColor rgb="FFE2F0D9"/>
        <bgColor rgb="FFE2F0D9"/>
      </patternFill>
    </fill>
  </fills>
  <borders count="17">
    <border/>
    <border>
      <left/>
      <top/>
      <bottom/>
    </border>
    <border>
      <top/>
      <bottom/>
    </border>
    <border>
      <right/>
      <top/>
      <bottom/>
    </border>
    <border>
      <left/>
      <right/>
      <top/>
      <bottom style="thin">
        <color rgb="FFB7B7B7"/>
      </bottom>
    </border>
    <border>
      <left style="thin">
        <color rgb="FFFFFFFF"/>
      </left>
      <top style="thin">
        <color rgb="FFFFFFFF"/>
      </top>
      <bottom style="thin">
        <color rgb="FFFFFFFF"/>
      </bottom>
    </border>
    <border>
      <bottom style="thin">
        <color rgb="FFB7B7B7"/>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top style="thin">
        <color rgb="FFFFFFFF"/>
      </top>
      <bottom style="thin">
        <color rgb="FFFFFFFF"/>
      </bottom>
    </border>
    <border>
      <left style="thin">
        <color rgb="FFFFFFFF"/>
      </left>
      <right style="thin">
        <color rgb="FFFFFFFF"/>
      </right>
      <top style="thin">
        <color rgb="FFFFFFFF"/>
      </top>
      <bottom/>
    </border>
    <border>
      <left style="thin">
        <color rgb="FFFFFFFF"/>
      </left>
      <right style="thin">
        <color rgb="FFFFFFFF"/>
      </right>
      <top style="thin">
        <color rgb="FFFFFFFF"/>
      </top>
      <bottom style="thin">
        <color rgb="FFFFFFFF"/>
      </bottom>
    </border>
    <border>
      <left style="thin">
        <color rgb="FFC0C0C0"/>
      </left>
      <right style="thin">
        <color rgb="FFC0C0C0"/>
      </right>
      <top style="thin">
        <color rgb="FFC0C0C0"/>
      </top>
      <bottom style="thin">
        <color rgb="FFC0C0C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2" fontId="1" numFmtId="0" xfId="0" applyAlignment="1" applyBorder="1" applyFill="1" applyFont="1">
      <alignment horizontal="center" shrinkToFit="0" vertical="center" wrapText="1"/>
    </xf>
    <xf borderId="4" fillId="3" fontId="3" numFmtId="0" xfId="0" applyAlignment="1" applyBorder="1" applyFill="1" applyFont="1">
      <alignment horizontal="center"/>
    </xf>
    <xf borderId="5" fillId="4" fontId="4" numFmtId="0" xfId="0" applyAlignment="1" applyBorder="1" applyFill="1" applyFont="1">
      <alignment horizontal="center"/>
    </xf>
    <xf borderId="6" fillId="0" fontId="5" numFmtId="0" xfId="0" applyAlignment="1" applyBorder="1" applyFont="1">
      <alignment horizontal="center"/>
    </xf>
    <xf borderId="0" fillId="0" fontId="6" numFmtId="0" xfId="0" applyAlignment="1" applyFont="1">
      <alignment horizontal="center" shrinkToFit="0" vertical="center" wrapText="1"/>
    </xf>
    <xf borderId="7" fillId="0" fontId="2" numFmtId="0" xfId="0" applyBorder="1" applyFont="1"/>
    <xf borderId="8" fillId="0" fontId="2" numFmtId="0" xfId="0" applyBorder="1" applyFont="1"/>
    <xf borderId="9" fillId="5" fontId="4" numFmtId="0" xfId="0" applyAlignment="1" applyBorder="1" applyFill="1" applyFont="1">
      <alignment horizontal="left"/>
    </xf>
    <xf borderId="1" fillId="2" fontId="1" numFmtId="0" xfId="0" applyAlignment="1" applyBorder="1" applyFill="1" applyFont="1">
      <alignment horizontal="center" vertical="center"/>
    </xf>
    <xf borderId="10" fillId="5" fontId="7" numFmtId="4" xfId="0" applyBorder="1" applyFill="1" applyFont="1" applyNumberFormat="1"/>
    <xf borderId="0" fillId="0" fontId="6" numFmtId="0" xfId="0" applyAlignment="1" applyFont="1">
      <alignment horizontal="center" vertical="center"/>
    </xf>
    <xf borderId="11" fillId="0" fontId="7" numFmtId="0" xfId="0" applyBorder="1" applyFont="1"/>
    <xf borderId="1" fillId="6" fontId="8" numFmtId="0" xfId="0" applyAlignment="1" applyBorder="1" applyFill="1" applyFont="1">
      <alignment horizontal="center" shrinkToFit="0" vertical="center" wrapText="1"/>
    </xf>
    <xf borderId="9" fillId="4" fontId="4" numFmtId="0" xfId="0" applyAlignment="1" applyBorder="1" applyFill="1" applyFont="1">
      <alignment horizontal="left"/>
    </xf>
    <xf borderId="0" fillId="0" fontId="6" numFmtId="0" xfId="0" applyAlignment="1" applyFont="1">
      <alignment horizontal="center" readingOrder="0" vertical="center"/>
    </xf>
    <xf borderId="12" fillId="5" fontId="7" numFmtId="0" xfId="0" applyAlignment="1" applyBorder="1" applyFill="1" applyFont="1">
      <alignment horizontal="center"/>
    </xf>
    <xf borderId="0" fillId="0" fontId="6" numFmtId="0" xfId="0" applyAlignment="1" applyFont="1">
      <alignment horizontal="center" readingOrder="0" shrinkToFit="0" vertical="center" wrapText="1"/>
    </xf>
    <xf borderId="0" fillId="0" fontId="6" numFmtId="0" xfId="0" applyAlignment="1" applyFont="1">
      <alignment readingOrder="0" shrinkToFit="0" wrapText="1"/>
    </xf>
    <xf borderId="13" fillId="3" fontId="3" numFmtId="0" xfId="0" applyAlignment="1" applyBorder="1" applyFill="1" applyFont="1">
      <alignment horizontal="center" shrinkToFit="0" vertical="center" wrapText="1"/>
    </xf>
    <xf borderId="14" fillId="3" fontId="3" numFmtId="0" xfId="0" applyAlignment="1" applyBorder="1" applyFill="1" applyFont="1">
      <alignment horizontal="center" vertical="center"/>
    </xf>
    <xf borderId="14" fillId="0" fontId="5" numFmtId="0" xfId="0" applyAlignment="1" applyBorder="1" applyFont="1">
      <alignment horizontal="center" shrinkToFit="0" vertical="center" wrapText="1"/>
    </xf>
    <xf borderId="14" fillId="0" fontId="5" numFmtId="0" xfId="0" applyAlignment="1" applyBorder="1" applyFont="1">
      <alignment horizontal="center" readingOrder="0" shrinkToFit="0" vertical="center" wrapText="1"/>
    </xf>
    <xf borderId="11" fillId="4" fontId="7" numFmtId="4" xfId="0" applyBorder="1" applyFill="1" applyFont="1" applyNumberFormat="1"/>
    <xf borderId="11" fillId="4" fontId="7" numFmtId="0" xfId="0" applyAlignment="1" applyBorder="1" applyFill="1" applyFont="1">
      <alignment horizontal="right"/>
    </xf>
    <xf borderId="4" fillId="7" fontId="8" numFmtId="0" xfId="0" applyAlignment="1" applyBorder="1" applyFill="1" applyFont="1">
      <alignment horizontal="center"/>
    </xf>
    <xf borderId="11" fillId="4" fontId="7" numFmtId="2" xfId="0" applyAlignment="1" applyBorder="1" applyFill="1" applyFont="1" applyNumberFormat="1">
      <alignment horizontal="right"/>
    </xf>
    <xf borderId="0" fillId="0" fontId="9" numFmtId="0" xfId="0" applyFont="1"/>
    <xf borderId="6" fillId="0" fontId="8" numFmtId="0" xfId="0" applyBorder="1" applyFont="1"/>
    <xf borderId="6" fillId="0" fontId="5" numFmtId="0" xfId="0" applyAlignment="1" applyBorder="1" applyFont="1">
      <alignment shrinkToFit="0" vertical="top" wrapText="1"/>
    </xf>
    <xf borderId="13" fillId="7" fontId="8" numFmtId="0" xfId="0" applyAlignment="1" applyBorder="1" applyFill="1" applyFont="1">
      <alignment horizontal="center" vertical="center"/>
    </xf>
    <xf borderId="13" fillId="7" fontId="10" numFmtId="0" xfId="0" applyAlignment="1" applyBorder="1" applyFill="1" applyFont="1">
      <alignment horizontal="center" vertical="center"/>
    </xf>
    <xf borderId="14" fillId="0" fontId="11" numFmtId="0" xfId="0" applyAlignment="1" applyBorder="1" applyFont="1">
      <alignment horizontal="center" shrinkToFit="0" vertical="center" wrapText="1"/>
    </xf>
    <xf borderId="14" fillId="0" fontId="11" numFmtId="0" xfId="0" applyAlignment="1" applyBorder="1" applyFont="1">
      <alignment horizontal="center" readingOrder="0" shrinkToFit="0" vertical="center" wrapText="1"/>
    </xf>
    <xf borderId="14" fillId="0" fontId="11" numFmtId="0" xfId="0" applyAlignment="1" applyBorder="1" applyFont="1">
      <alignment horizontal="center" readingOrder="0"/>
    </xf>
    <xf borderId="14" fillId="0" fontId="6" numFmtId="0" xfId="0" applyAlignment="1" applyBorder="1" applyFont="1">
      <alignment readingOrder="0" shrinkToFit="0" vertical="center" wrapText="1"/>
    </xf>
    <xf borderId="15" fillId="0" fontId="5" numFmtId="0" xfId="0" applyAlignment="1" applyBorder="1" applyFont="1">
      <alignment horizontal="center" shrinkToFit="0" vertical="center" wrapText="1"/>
    </xf>
    <xf borderId="15" fillId="0" fontId="5" numFmtId="0" xfId="0" applyAlignment="1" applyBorder="1" applyFont="1">
      <alignment horizontal="center" shrinkToFit="0" vertical="center" wrapText="1"/>
    </xf>
    <xf borderId="14"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16"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48.29"/>
    <col customWidth="1" min="3" max="3" width="20.0"/>
    <col customWidth="1" min="4" max="4" width="42.0"/>
    <col customWidth="1" min="5" max="5" width="9.0"/>
    <col customWidth="1" min="6" max="6" width="12.0"/>
    <col customWidth="1" min="7" max="7" width="13.0"/>
    <col customWidth="1" min="8" max="8" width="10.0"/>
    <col customWidth="1" min="9" max="10" width="18.0"/>
    <col customWidth="1" min="11" max="26" width="8.71"/>
  </cols>
  <sheetData>
    <row r="1" ht="14.25" customHeight="1">
      <c r="A1" s="4" t="s">
        <v>1</v>
      </c>
      <c r="B1" s="2"/>
      <c r="C1" s="2"/>
      <c r="D1" s="2"/>
      <c r="E1" s="2"/>
      <c r="F1" s="2"/>
      <c r="G1" s="2"/>
      <c r="H1" s="2"/>
      <c r="I1" s="2"/>
      <c r="J1" s="3"/>
      <c r="K1" s="8"/>
      <c r="L1" s="8"/>
      <c r="M1" s="8"/>
      <c r="N1" s="8"/>
      <c r="O1" s="8"/>
      <c r="P1" s="8"/>
      <c r="Q1" s="8"/>
      <c r="R1" s="8"/>
      <c r="S1" s="8"/>
      <c r="T1" s="8"/>
      <c r="U1" s="8"/>
      <c r="V1" s="8"/>
      <c r="W1" s="8"/>
      <c r="X1" s="8"/>
      <c r="Y1" s="8"/>
      <c r="Z1" s="8"/>
    </row>
    <row r="2" ht="14.25" customHeight="1">
      <c r="A2" s="16" t="s">
        <v>8</v>
      </c>
      <c r="B2" s="2"/>
      <c r="C2" s="2"/>
      <c r="D2" s="2"/>
      <c r="E2" s="2"/>
      <c r="F2" s="2"/>
      <c r="G2" s="2"/>
      <c r="H2" s="2"/>
      <c r="I2" s="2"/>
      <c r="J2" s="3"/>
      <c r="K2" s="8"/>
      <c r="L2" s="8"/>
      <c r="M2" s="8"/>
      <c r="N2" s="8"/>
      <c r="O2" s="8"/>
      <c r="P2" s="8"/>
      <c r="Q2" s="8"/>
      <c r="R2" s="8"/>
      <c r="S2" s="8"/>
      <c r="T2" s="8"/>
      <c r="U2" s="8"/>
      <c r="V2" s="8"/>
      <c r="W2" s="8"/>
      <c r="X2" s="8"/>
      <c r="Y2" s="8"/>
      <c r="Z2" s="8"/>
    </row>
    <row r="3" ht="25.5" customHeight="1">
      <c r="A3" s="8"/>
      <c r="B3" s="8"/>
      <c r="C3" s="8"/>
      <c r="D3" s="8"/>
      <c r="E3" s="8"/>
      <c r="F3" s="8"/>
      <c r="G3" s="8"/>
      <c r="H3" s="8"/>
      <c r="I3" s="8"/>
      <c r="J3" s="8"/>
      <c r="K3" s="8"/>
      <c r="L3" s="8"/>
      <c r="M3" s="8"/>
      <c r="N3" s="8"/>
      <c r="O3" s="8"/>
      <c r="P3" s="8"/>
      <c r="Q3" s="8"/>
      <c r="R3" s="8"/>
      <c r="S3" s="8"/>
      <c r="T3" s="8"/>
      <c r="U3" s="8"/>
      <c r="V3" s="8"/>
      <c r="W3" s="8"/>
      <c r="X3" s="8"/>
      <c r="Y3" s="8"/>
      <c r="Z3" s="8"/>
    </row>
    <row r="4" ht="14.25" customHeight="1">
      <c r="A4" s="22" t="s">
        <v>21</v>
      </c>
      <c r="B4" s="22" t="s">
        <v>22</v>
      </c>
      <c r="C4" s="22" t="s">
        <v>23</v>
      </c>
      <c r="D4" s="22" t="s">
        <v>24</v>
      </c>
      <c r="E4" s="22" t="s">
        <v>26</v>
      </c>
      <c r="F4" s="22" t="s">
        <v>27</v>
      </c>
      <c r="G4" s="22" t="s">
        <v>28</v>
      </c>
      <c r="H4" s="22" t="s">
        <v>29</v>
      </c>
      <c r="I4" s="22" t="s">
        <v>5</v>
      </c>
      <c r="J4" s="22" t="s">
        <v>30</v>
      </c>
      <c r="K4" s="8"/>
      <c r="L4" s="8"/>
      <c r="M4" s="8"/>
      <c r="N4" s="8"/>
      <c r="O4" s="8"/>
      <c r="P4" s="8"/>
      <c r="Q4" s="8"/>
      <c r="R4" s="8"/>
      <c r="S4" s="8"/>
      <c r="T4" s="8"/>
      <c r="U4" s="8"/>
      <c r="V4" s="8"/>
      <c r="W4" s="8"/>
      <c r="X4" s="8"/>
      <c r="Y4" s="8"/>
      <c r="Z4" s="8"/>
    </row>
    <row r="5" ht="14.25" customHeight="1">
      <c r="A5" s="24">
        <v>1.0</v>
      </c>
      <c r="B5" s="24" t="s">
        <v>36</v>
      </c>
      <c r="C5" s="25" t="s">
        <v>33</v>
      </c>
      <c r="D5" s="25" t="s">
        <v>39</v>
      </c>
      <c r="E5" s="25">
        <v>4.0</v>
      </c>
      <c r="F5" s="25">
        <v>1.0</v>
      </c>
      <c r="G5" s="25" t="s">
        <v>41</v>
      </c>
      <c r="H5" s="24">
        <f>IF(OR(C5="",G5=""),"",IF(C5="EI",IF(G5="Baja",3,IF(G5="Media",4,6)),IF(C5="EO",IF(G5="Baja",4,IF(G5="Media",5,7)),IF(C5="EQ",IF(G5="Baja",3,IF(G5="Media",4,6)),IF(C5="ILF",IF(G5="Baja",7,IF(G5="Media",10,15)),IF(C5="EIF",IF(G5="Baja",5,IF(G5="Media",7,10)),""))))))</f>
        <v>7</v>
      </c>
      <c r="I5" s="24">
        <f>IF(H5="","",H5)</f>
        <v>7</v>
      </c>
      <c r="J5" s="25" t="s">
        <v>52</v>
      </c>
      <c r="K5" s="8"/>
      <c r="L5" s="8"/>
      <c r="M5" s="8"/>
      <c r="N5" s="8"/>
      <c r="O5" s="8"/>
      <c r="P5" s="8"/>
      <c r="Q5" s="8"/>
      <c r="R5" s="8"/>
      <c r="S5" s="8"/>
      <c r="T5" s="8"/>
      <c r="U5" s="8"/>
      <c r="V5" s="8"/>
      <c r="W5" s="8"/>
      <c r="X5" s="8"/>
      <c r="Y5" s="8"/>
      <c r="Z5" s="8"/>
    </row>
    <row r="6" ht="14.25" customHeight="1">
      <c r="A6" s="25">
        <v>2.0</v>
      </c>
      <c r="B6" s="25" t="s">
        <v>36</v>
      </c>
      <c r="C6" s="25" t="s">
        <v>6</v>
      </c>
      <c r="D6" s="25" t="s">
        <v>54</v>
      </c>
      <c r="E6" s="25">
        <v>5.0</v>
      </c>
      <c r="F6" s="25">
        <v>1.0</v>
      </c>
      <c r="G6" s="25" t="s">
        <v>41</v>
      </c>
      <c r="H6" s="25">
        <v>3.0</v>
      </c>
      <c r="I6" s="25">
        <v>3.0</v>
      </c>
      <c r="J6" s="25" t="s">
        <v>52</v>
      </c>
      <c r="K6" s="8"/>
      <c r="L6" s="8"/>
      <c r="M6" s="8"/>
      <c r="N6" s="8"/>
      <c r="O6" s="8"/>
      <c r="P6" s="8"/>
      <c r="Q6" s="8"/>
      <c r="R6" s="8"/>
      <c r="S6" s="8"/>
      <c r="T6" s="8"/>
      <c r="U6" s="8"/>
      <c r="V6" s="8"/>
      <c r="W6" s="8"/>
      <c r="X6" s="8"/>
      <c r="Y6" s="8"/>
      <c r="Z6" s="8"/>
    </row>
    <row r="7" ht="14.25" customHeight="1">
      <c r="A7" s="25">
        <v>3.0</v>
      </c>
      <c r="B7" s="24" t="s">
        <v>56</v>
      </c>
      <c r="C7" s="25" t="s">
        <v>18</v>
      </c>
      <c r="D7" s="25" t="s">
        <v>57</v>
      </c>
      <c r="E7" s="25">
        <v>5.0</v>
      </c>
      <c r="F7" s="25">
        <v>1.0</v>
      </c>
      <c r="G7" s="25" t="s">
        <v>41</v>
      </c>
      <c r="H7" s="24">
        <f t="shared" ref="H7:H10" si="1">IF(OR(C7="",G7=""),"",IF(C7="EI",IF(G7="Baja",3,IF(G7="Media",4,6)),IF(C7="EO",IF(G7="Baja",4,IF(G7="Media",5,7)),IF(C7="EQ",IF(G7="Baja",3,IF(G7="Media",4,6)),IF(C7="ILF",IF(G7="Baja",7,IF(G7="Media",10,15)),IF(C7="EIF",IF(G7="Baja",5,IF(G7="Media",7,10)),""))))))</f>
        <v>3</v>
      </c>
      <c r="I7" s="24">
        <f t="shared" ref="I7:I10" si="2">IF(H7="","",H7)</f>
        <v>3</v>
      </c>
      <c r="J7" s="25" t="s">
        <v>52</v>
      </c>
      <c r="K7" s="8"/>
      <c r="L7" s="8"/>
      <c r="M7" s="8"/>
      <c r="N7" s="8"/>
      <c r="O7" s="8"/>
      <c r="P7" s="8"/>
      <c r="Q7" s="8"/>
      <c r="R7" s="8"/>
      <c r="S7" s="8"/>
      <c r="T7" s="8"/>
      <c r="U7" s="8"/>
      <c r="V7" s="8"/>
      <c r="W7" s="8"/>
      <c r="X7" s="8"/>
      <c r="Y7" s="8"/>
      <c r="Z7" s="8"/>
    </row>
    <row r="8" ht="14.25" customHeight="1">
      <c r="A8" s="25">
        <v>4.0</v>
      </c>
      <c r="B8" s="24" t="s">
        <v>68</v>
      </c>
      <c r="C8" s="25" t="s">
        <v>6</v>
      </c>
      <c r="D8" s="25" t="s">
        <v>69</v>
      </c>
      <c r="E8" s="25">
        <v>5.0</v>
      </c>
      <c r="F8" s="25">
        <v>1.0</v>
      </c>
      <c r="G8" s="25" t="s">
        <v>41</v>
      </c>
      <c r="H8" s="24">
        <f t="shared" si="1"/>
        <v>3</v>
      </c>
      <c r="I8" s="24">
        <f t="shared" si="2"/>
        <v>3</v>
      </c>
      <c r="J8" s="25" t="s">
        <v>52</v>
      </c>
      <c r="K8" s="8"/>
      <c r="L8" s="8"/>
      <c r="M8" s="8"/>
      <c r="N8" s="8"/>
      <c r="O8" s="8"/>
      <c r="P8" s="8"/>
      <c r="Q8" s="8"/>
      <c r="R8" s="8"/>
      <c r="S8" s="8"/>
      <c r="T8" s="8"/>
      <c r="U8" s="8"/>
      <c r="V8" s="8"/>
      <c r="W8" s="8"/>
      <c r="X8" s="8"/>
      <c r="Y8" s="8"/>
      <c r="Z8" s="8"/>
    </row>
    <row r="9" ht="14.25" customHeight="1">
      <c r="A9" s="25">
        <v>5.0</v>
      </c>
      <c r="B9" s="24" t="s">
        <v>72</v>
      </c>
      <c r="C9" s="25" t="s">
        <v>6</v>
      </c>
      <c r="D9" s="25" t="s">
        <v>73</v>
      </c>
      <c r="E9" s="25">
        <v>2.0</v>
      </c>
      <c r="F9" s="25">
        <v>2.0</v>
      </c>
      <c r="G9" s="25" t="s">
        <v>41</v>
      </c>
      <c r="H9" s="24">
        <f t="shared" si="1"/>
        <v>3</v>
      </c>
      <c r="I9" s="24">
        <f t="shared" si="2"/>
        <v>3</v>
      </c>
      <c r="J9" s="25" t="s">
        <v>52</v>
      </c>
      <c r="K9" s="8"/>
      <c r="L9" s="8"/>
      <c r="M9" s="8"/>
      <c r="N9" s="8"/>
      <c r="O9" s="8"/>
      <c r="P9" s="8"/>
      <c r="Q9" s="8"/>
      <c r="R9" s="8"/>
      <c r="S9" s="8"/>
      <c r="T9" s="8"/>
      <c r="U9" s="8"/>
      <c r="V9" s="8"/>
      <c r="W9" s="8"/>
      <c r="X9" s="8"/>
      <c r="Y9" s="8"/>
      <c r="Z9" s="8"/>
    </row>
    <row r="10" ht="14.25" customHeight="1">
      <c r="A10" s="25">
        <v>6.0</v>
      </c>
      <c r="B10" s="24" t="s">
        <v>76</v>
      </c>
      <c r="C10" s="25" t="s">
        <v>33</v>
      </c>
      <c r="D10" s="25" t="s">
        <v>77</v>
      </c>
      <c r="E10" s="25">
        <v>3.0</v>
      </c>
      <c r="F10" s="25">
        <v>1.0</v>
      </c>
      <c r="G10" s="25" t="s">
        <v>41</v>
      </c>
      <c r="H10" s="24">
        <f t="shared" si="1"/>
        <v>7</v>
      </c>
      <c r="I10" s="24">
        <f t="shared" si="2"/>
        <v>7</v>
      </c>
      <c r="J10" s="25" t="s">
        <v>52</v>
      </c>
      <c r="K10" s="8"/>
      <c r="L10" s="8"/>
      <c r="M10" s="8"/>
      <c r="N10" s="8"/>
      <c r="O10" s="8"/>
      <c r="P10" s="8"/>
      <c r="Q10" s="8"/>
      <c r="R10" s="8"/>
      <c r="S10" s="8"/>
      <c r="T10" s="8"/>
      <c r="U10" s="8"/>
      <c r="V10" s="8"/>
      <c r="W10" s="8"/>
      <c r="X10" s="8"/>
      <c r="Y10" s="8"/>
      <c r="Z10" s="8"/>
    </row>
    <row r="11" ht="14.25" customHeight="1">
      <c r="A11" s="25">
        <v>7.0</v>
      </c>
      <c r="B11" s="25" t="s">
        <v>76</v>
      </c>
      <c r="C11" s="25" t="s">
        <v>6</v>
      </c>
      <c r="D11" s="25" t="s">
        <v>86</v>
      </c>
      <c r="E11" s="25">
        <v>4.0</v>
      </c>
      <c r="F11" s="25">
        <v>1.0</v>
      </c>
      <c r="G11" s="25" t="s">
        <v>41</v>
      </c>
      <c r="H11" s="25">
        <v>3.0</v>
      </c>
      <c r="I11" s="25">
        <v>3.0</v>
      </c>
      <c r="J11" s="25" t="s">
        <v>52</v>
      </c>
      <c r="K11" s="8"/>
      <c r="L11" s="8"/>
      <c r="M11" s="8"/>
      <c r="N11" s="8"/>
      <c r="O11" s="8"/>
      <c r="P11" s="8"/>
      <c r="Q11" s="8"/>
      <c r="R11" s="8"/>
      <c r="S11" s="8"/>
      <c r="T11" s="8"/>
      <c r="U11" s="8"/>
      <c r="V11" s="8"/>
      <c r="W11" s="8"/>
      <c r="X11" s="8"/>
      <c r="Y11" s="8"/>
      <c r="Z11" s="8"/>
    </row>
    <row r="12" ht="14.25" customHeight="1">
      <c r="A12" s="25">
        <v>8.0</v>
      </c>
      <c r="B12" s="24" t="s">
        <v>95</v>
      </c>
      <c r="C12" s="25" t="s">
        <v>18</v>
      </c>
      <c r="D12" s="25" t="s">
        <v>98</v>
      </c>
      <c r="E12" s="25">
        <v>4.0</v>
      </c>
      <c r="F12" s="25">
        <v>1.0</v>
      </c>
      <c r="G12" s="25" t="s">
        <v>41</v>
      </c>
      <c r="H12" s="24">
        <f t="shared" ref="H12:H14" si="3">IF(OR(C12="",G12=""),"",IF(C12="EI",IF(G12="Baja",3,IF(G12="Media",4,6)),IF(C12="EO",IF(G12="Baja",4,IF(G12="Media",5,7)),IF(C12="EQ",IF(G12="Baja",3,IF(G12="Media",4,6)),IF(C12="ILF",IF(G12="Baja",7,IF(G12="Media",10,15)),IF(C12="EIF",IF(G12="Baja",5,IF(G12="Media",7,10)),""))))))</f>
        <v>3</v>
      </c>
      <c r="I12" s="24">
        <f t="shared" ref="I12:I14" si="4">IF(H12="","",H12)</f>
        <v>3</v>
      </c>
      <c r="J12" s="25" t="s">
        <v>52</v>
      </c>
      <c r="K12" s="8"/>
      <c r="L12" s="8"/>
      <c r="M12" s="8"/>
      <c r="N12" s="8"/>
      <c r="O12" s="8"/>
      <c r="P12" s="8"/>
      <c r="Q12" s="8"/>
      <c r="R12" s="8"/>
      <c r="S12" s="8"/>
      <c r="T12" s="8"/>
      <c r="U12" s="8"/>
      <c r="V12" s="8"/>
      <c r="W12" s="8"/>
      <c r="X12" s="8"/>
      <c r="Y12" s="8"/>
      <c r="Z12" s="8"/>
    </row>
    <row r="13" ht="14.25" customHeight="1">
      <c r="A13" s="25">
        <v>9.0</v>
      </c>
      <c r="B13" s="24" t="s">
        <v>108</v>
      </c>
      <c r="C13" s="25" t="s">
        <v>6</v>
      </c>
      <c r="D13" s="25" t="s">
        <v>109</v>
      </c>
      <c r="E13" s="25">
        <v>4.0</v>
      </c>
      <c r="F13" s="25">
        <v>1.0</v>
      </c>
      <c r="G13" s="25" t="s">
        <v>41</v>
      </c>
      <c r="H13" s="24">
        <f t="shared" si="3"/>
        <v>3</v>
      </c>
      <c r="I13" s="24">
        <f t="shared" si="4"/>
        <v>3</v>
      </c>
      <c r="J13" s="25" t="s">
        <v>110</v>
      </c>
      <c r="K13" s="8"/>
      <c r="L13" s="8"/>
      <c r="M13" s="8"/>
      <c r="N13" s="8"/>
      <c r="O13" s="8"/>
      <c r="P13" s="8"/>
      <c r="Q13" s="8"/>
      <c r="R13" s="8"/>
      <c r="S13" s="8"/>
      <c r="T13" s="8"/>
      <c r="U13" s="8"/>
      <c r="V13" s="8"/>
      <c r="W13" s="8"/>
      <c r="X13" s="8"/>
      <c r="Y13" s="8"/>
      <c r="Z13" s="8"/>
    </row>
    <row r="14" ht="14.25" customHeight="1">
      <c r="A14" s="25">
        <v>10.0</v>
      </c>
      <c r="B14" s="24" t="s">
        <v>111</v>
      </c>
      <c r="C14" s="25" t="s">
        <v>6</v>
      </c>
      <c r="D14" s="25" t="s">
        <v>112</v>
      </c>
      <c r="E14" s="25">
        <v>4.0</v>
      </c>
      <c r="F14" s="25">
        <v>2.0</v>
      </c>
      <c r="G14" s="25" t="s">
        <v>41</v>
      </c>
      <c r="H14" s="24">
        <f t="shared" si="3"/>
        <v>3</v>
      </c>
      <c r="I14" s="24">
        <f t="shared" si="4"/>
        <v>3</v>
      </c>
      <c r="J14" s="25" t="s">
        <v>110</v>
      </c>
      <c r="K14" s="8"/>
      <c r="L14" s="8"/>
      <c r="M14" s="8"/>
      <c r="N14" s="8"/>
      <c r="O14" s="8"/>
      <c r="P14" s="8"/>
      <c r="Q14" s="8"/>
      <c r="R14" s="8"/>
      <c r="S14" s="8"/>
      <c r="T14" s="8"/>
      <c r="U14" s="8"/>
      <c r="V14" s="8"/>
      <c r="W14" s="8"/>
      <c r="X14" s="8"/>
      <c r="Y14" s="8"/>
      <c r="Z14" s="8"/>
    </row>
    <row r="15" ht="14.25" customHeight="1">
      <c r="A15" s="25">
        <v>11.0</v>
      </c>
      <c r="B15" s="25" t="s">
        <v>114</v>
      </c>
      <c r="C15" s="25" t="s">
        <v>33</v>
      </c>
      <c r="D15" s="25" t="s">
        <v>115</v>
      </c>
      <c r="E15" s="25">
        <v>5.0</v>
      </c>
      <c r="F15" s="25">
        <v>2.0</v>
      </c>
      <c r="G15" s="25" t="s">
        <v>41</v>
      </c>
      <c r="H15" s="25">
        <v>7.0</v>
      </c>
      <c r="I15" s="25">
        <v>7.0</v>
      </c>
      <c r="J15" s="25" t="s">
        <v>110</v>
      </c>
      <c r="K15" s="8"/>
      <c r="L15" s="8"/>
      <c r="M15" s="8"/>
      <c r="N15" s="8"/>
      <c r="O15" s="8"/>
      <c r="P15" s="8"/>
      <c r="Q15" s="8"/>
      <c r="R15" s="8"/>
      <c r="S15" s="8"/>
      <c r="T15" s="8"/>
      <c r="U15" s="8"/>
      <c r="V15" s="8"/>
      <c r="W15" s="8"/>
      <c r="X15" s="8"/>
      <c r="Y15" s="8"/>
      <c r="Z15" s="8"/>
    </row>
    <row r="16" ht="14.25" customHeight="1">
      <c r="A16" s="25">
        <v>12.0</v>
      </c>
      <c r="B16" s="24" t="s">
        <v>114</v>
      </c>
      <c r="C16" s="25" t="s">
        <v>6</v>
      </c>
      <c r="D16" s="25" t="s">
        <v>116</v>
      </c>
      <c r="E16" s="25">
        <v>5.0</v>
      </c>
      <c r="F16" s="25">
        <v>2.0</v>
      </c>
      <c r="G16" s="25" t="s">
        <v>46</v>
      </c>
      <c r="H16" s="24">
        <f t="shared" ref="H16:H30" si="5">IF(OR(C16="",G16=""),"",IF(C16="EI",IF(G16="Baja",3,IF(G16="Media",4,6)),IF(C16="EO",IF(G16="Baja",4,IF(G16="Media",5,7)),IF(C16="EQ",IF(G16="Baja",3,IF(G16="Media",4,6)),IF(C16="ILF",IF(G16="Baja",7,IF(G16="Media",10,15)),IF(C16="EIF",IF(G16="Baja",5,IF(G16="Media",7,10)),""))))))</f>
        <v>4</v>
      </c>
      <c r="I16" s="24">
        <f t="shared" ref="I16:I36" si="6">IF(H16="","",H16)</f>
        <v>4</v>
      </c>
      <c r="J16" s="25" t="s">
        <v>110</v>
      </c>
      <c r="K16" s="8"/>
      <c r="L16" s="8"/>
      <c r="M16" s="8"/>
      <c r="N16" s="8"/>
      <c r="O16" s="8"/>
      <c r="P16" s="8"/>
      <c r="Q16" s="8"/>
      <c r="R16" s="8"/>
      <c r="S16" s="8"/>
      <c r="T16" s="8"/>
      <c r="U16" s="8"/>
      <c r="V16" s="8"/>
      <c r="W16" s="8"/>
      <c r="X16" s="8"/>
      <c r="Y16" s="8"/>
      <c r="Z16" s="8"/>
    </row>
    <row r="17" ht="14.25" customHeight="1">
      <c r="A17" s="25">
        <v>13.0</v>
      </c>
      <c r="B17" s="24" t="s">
        <v>118</v>
      </c>
      <c r="C17" s="25" t="s">
        <v>18</v>
      </c>
      <c r="D17" s="25" t="s">
        <v>119</v>
      </c>
      <c r="E17" s="25">
        <v>7.0</v>
      </c>
      <c r="F17" s="25">
        <v>1.0</v>
      </c>
      <c r="G17" s="25" t="s">
        <v>41</v>
      </c>
      <c r="H17" s="24">
        <f t="shared" si="5"/>
        <v>3</v>
      </c>
      <c r="I17" s="24">
        <f t="shared" si="6"/>
        <v>3</v>
      </c>
      <c r="J17" s="25" t="s">
        <v>110</v>
      </c>
      <c r="K17" s="8"/>
      <c r="L17" s="8"/>
      <c r="M17" s="8"/>
      <c r="N17" s="8"/>
      <c r="O17" s="8"/>
      <c r="P17" s="8"/>
      <c r="Q17" s="8"/>
      <c r="R17" s="8"/>
      <c r="S17" s="8"/>
      <c r="T17" s="8"/>
      <c r="U17" s="8"/>
      <c r="V17" s="8"/>
      <c r="W17" s="8"/>
      <c r="X17" s="8"/>
      <c r="Y17" s="8"/>
      <c r="Z17" s="8"/>
    </row>
    <row r="18" ht="14.25" customHeight="1">
      <c r="A18" s="25">
        <v>14.0</v>
      </c>
      <c r="B18" s="24" t="s">
        <v>120</v>
      </c>
      <c r="C18" s="25" t="s">
        <v>6</v>
      </c>
      <c r="D18" s="25" t="s">
        <v>121</v>
      </c>
      <c r="E18" s="25">
        <v>5.0</v>
      </c>
      <c r="F18" s="25">
        <v>1.0</v>
      </c>
      <c r="G18" s="25" t="s">
        <v>41</v>
      </c>
      <c r="H18" s="24">
        <f t="shared" si="5"/>
        <v>3</v>
      </c>
      <c r="I18" s="24">
        <f t="shared" si="6"/>
        <v>3</v>
      </c>
      <c r="J18" s="25" t="s">
        <v>110</v>
      </c>
      <c r="K18" s="8"/>
      <c r="L18" s="8"/>
      <c r="M18" s="8"/>
      <c r="N18" s="8"/>
      <c r="O18" s="8"/>
      <c r="P18" s="8"/>
      <c r="Q18" s="8"/>
      <c r="R18" s="8"/>
      <c r="S18" s="8"/>
      <c r="T18" s="8"/>
      <c r="U18" s="8"/>
      <c r="V18" s="8"/>
      <c r="W18" s="8"/>
      <c r="X18" s="8"/>
      <c r="Y18" s="8"/>
      <c r="Z18" s="8"/>
    </row>
    <row r="19" ht="14.25" customHeight="1">
      <c r="A19" s="25">
        <v>15.0</v>
      </c>
      <c r="B19" s="24" t="s">
        <v>122</v>
      </c>
      <c r="C19" s="25" t="s">
        <v>6</v>
      </c>
      <c r="D19" s="25" t="s">
        <v>123</v>
      </c>
      <c r="E19" s="25">
        <v>2.0</v>
      </c>
      <c r="F19" s="25">
        <v>3.0</v>
      </c>
      <c r="G19" s="25" t="s">
        <v>41</v>
      </c>
      <c r="H19" s="24">
        <f t="shared" si="5"/>
        <v>3</v>
      </c>
      <c r="I19" s="24">
        <f t="shared" si="6"/>
        <v>3</v>
      </c>
      <c r="J19" s="25" t="s">
        <v>110</v>
      </c>
      <c r="K19" s="8"/>
      <c r="L19" s="8"/>
      <c r="M19" s="8"/>
      <c r="N19" s="8"/>
      <c r="O19" s="8"/>
      <c r="P19" s="8"/>
      <c r="Q19" s="8"/>
      <c r="R19" s="8"/>
      <c r="S19" s="8"/>
      <c r="T19" s="8"/>
      <c r="U19" s="8"/>
      <c r="V19" s="8"/>
      <c r="W19" s="8"/>
      <c r="X19" s="8"/>
      <c r="Y19" s="8"/>
      <c r="Z19" s="8"/>
    </row>
    <row r="20" ht="14.25" customHeight="1">
      <c r="A20" s="25">
        <v>16.0</v>
      </c>
      <c r="B20" s="25" t="s">
        <v>124</v>
      </c>
      <c r="C20" s="25" t="s">
        <v>33</v>
      </c>
      <c r="D20" s="25" t="s">
        <v>125</v>
      </c>
      <c r="E20" s="25">
        <v>4.0</v>
      </c>
      <c r="F20" s="25">
        <v>1.0</v>
      </c>
      <c r="G20" s="25" t="s">
        <v>41</v>
      </c>
      <c r="H20" s="24">
        <f t="shared" si="5"/>
        <v>7</v>
      </c>
      <c r="I20" s="24">
        <f t="shared" si="6"/>
        <v>7</v>
      </c>
      <c r="J20" s="25" t="s">
        <v>126</v>
      </c>
      <c r="K20" s="8"/>
      <c r="L20" s="8"/>
      <c r="M20" s="8"/>
      <c r="N20" s="8"/>
      <c r="O20" s="8"/>
      <c r="P20" s="8"/>
      <c r="Q20" s="8"/>
      <c r="R20" s="8"/>
      <c r="S20" s="8"/>
      <c r="T20" s="8"/>
      <c r="U20" s="8"/>
      <c r="V20" s="8"/>
      <c r="W20" s="8"/>
      <c r="X20" s="8"/>
      <c r="Y20" s="8"/>
      <c r="Z20" s="8"/>
    </row>
    <row r="21" ht="14.25" customHeight="1">
      <c r="A21" s="25">
        <v>17.0</v>
      </c>
      <c r="B21" s="24" t="s">
        <v>124</v>
      </c>
      <c r="C21" s="25" t="s">
        <v>6</v>
      </c>
      <c r="D21" s="25" t="s">
        <v>127</v>
      </c>
      <c r="E21" s="25">
        <v>4.0</v>
      </c>
      <c r="F21" s="25">
        <v>1.0</v>
      </c>
      <c r="G21" s="25" t="s">
        <v>41</v>
      </c>
      <c r="H21" s="24">
        <f t="shared" si="5"/>
        <v>3</v>
      </c>
      <c r="I21" s="24">
        <f t="shared" si="6"/>
        <v>3</v>
      </c>
      <c r="J21" s="25" t="s">
        <v>126</v>
      </c>
      <c r="K21" s="8"/>
      <c r="L21" s="8"/>
      <c r="M21" s="8"/>
      <c r="N21" s="8"/>
      <c r="O21" s="8"/>
      <c r="P21" s="8"/>
      <c r="Q21" s="8"/>
      <c r="R21" s="8"/>
      <c r="S21" s="8"/>
      <c r="T21" s="8"/>
      <c r="U21" s="8"/>
      <c r="V21" s="8"/>
      <c r="W21" s="8"/>
      <c r="X21" s="8"/>
      <c r="Y21" s="8"/>
      <c r="Z21" s="8"/>
    </row>
    <row r="22" ht="14.25" customHeight="1">
      <c r="A22" s="25">
        <v>18.0</v>
      </c>
      <c r="B22" s="35" t="s">
        <v>128</v>
      </c>
      <c r="C22" s="24"/>
      <c r="D22" s="25" t="s">
        <v>129</v>
      </c>
      <c r="E22" s="24"/>
      <c r="F22" s="24"/>
      <c r="G22" s="24"/>
      <c r="H22" s="24" t="str">
        <f t="shared" si="5"/>
        <v/>
      </c>
      <c r="I22" s="24" t="str">
        <f t="shared" si="6"/>
        <v/>
      </c>
      <c r="J22" s="25"/>
      <c r="K22" s="8"/>
      <c r="L22" s="8"/>
      <c r="M22" s="8"/>
      <c r="N22" s="8"/>
      <c r="O22" s="8"/>
      <c r="P22" s="8"/>
      <c r="Q22" s="8"/>
      <c r="R22" s="8"/>
      <c r="S22" s="8"/>
      <c r="T22" s="8"/>
      <c r="U22" s="8"/>
      <c r="V22" s="8"/>
      <c r="W22" s="8"/>
      <c r="X22" s="8"/>
      <c r="Y22" s="8"/>
      <c r="Z22" s="8"/>
    </row>
    <row r="23" ht="14.25" customHeight="1">
      <c r="A23" s="25">
        <v>19.0</v>
      </c>
      <c r="B23" s="25" t="s">
        <v>130</v>
      </c>
      <c r="C23" s="25" t="s">
        <v>33</v>
      </c>
      <c r="D23" s="36" t="s">
        <v>131</v>
      </c>
      <c r="E23" s="37">
        <v>4.0</v>
      </c>
      <c r="F23" s="37">
        <v>1.0</v>
      </c>
      <c r="G23" s="25" t="s">
        <v>41</v>
      </c>
      <c r="H23" s="24">
        <f t="shared" si="5"/>
        <v>7</v>
      </c>
      <c r="I23" s="24">
        <f t="shared" si="6"/>
        <v>7</v>
      </c>
      <c r="J23" s="25" t="s">
        <v>126</v>
      </c>
      <c r="K23" s="8"/>
      <c r="L23" s="8"/>
      <c r="M23" s="8"/>
      <c r="N23" s="8"/>
      <c r="O23" s="8"/>
      <c r="P23" s="8"/>
      <c r="Q23" s="8"/>
      <c r="R23" s="8"/>
      <c r="S23" s="8"/>
      <c r="T23" s="8"/>
      <c r="U23" s="8"/>
      <c r="V23" s="8"/>
      <c r="W23" s="8"/>
      <c r="X23" s="8"/>
      <c r="Y23" s="8"/>
      <c r="Z23" s="8"/>
    </row>
    <row r="24" ht="14.25" customHeight="1">
      <c r="A24" s="25">
        <v>20.0</v>
      </c>
      <c r="B24" s="25" t="s">
        <v>130</v>
      </c>
      <c r="C24" s="25" t="s">
        <v>6</v>
      </c>
      <c r="D24" s="36" t="s">
        <v>132</v>
      </c>
      <c r="E24" s="37">
        <v>6.0</v>
      </c>
      <c r="F24" s="37">
        <v>2.0</v>
      </c>
      <c r="G24" s="25" t="s">
        <v>46</v>
      </c>
      <c r="H24" s="24">
        <f t="shared" si="5"/>
        <v>4</v>
      </c>
      <c r="I24" s="24">
        <f t="shared" si="6"/>
        <v>4</v>
      </c>
      <c r="J24" s="25" t="s">
        <v>126</v>
      </c>
      <c r="K24" s="8"/>
      <c r="L24" s="8"/>
      <c r="M24" s="8"/>
      <c r="N24" s="8"/>
      <c r="O24" s="8"/>
      <c r="P24" s="8"/>
      <c r="Q24" s="8"/>
      <c r="R24" s="8"/>
      <c r="S24" s="8"/>
      <c r="T24" s="8"/>
      <c r="U24" s="8"/>
      <c r="V24" s="8"/>
      <c r="W24" s="8"/>
      <c r="X24" s="8"/>
      <c r="Y24" s="8"/>
      <c r="Z24" s="8"/>
    </row>
    <row r="25" ht="14.25" customHeight="1">
      <c r="A25" s="25">
        <v>21.0</v>
      </c>
      <c r="B25" s="25" t="s">
        <v>133</v>
      </c>
      <c r="C25" s="25" t="s">
        <v>18</v>
      </c>
      <c r="D25" s="36" t="s">
        <v>134</v>
      </c>
      <c r="E25" s="37">
        <v>6.0</v>
      </c>
      <c r="F25" s="37">
        <v>2.0</v>
      </c>
      <c r="G25" s="25" t="s">
        <v>46</v>
      </c>
      <c r="H25" s="24">
        <f t="shared" si="5"/>
        <v>4</v>
      </c>
      <c r="I25" s="24">
        <f t="shared" si="6"/>
        <v>4</v>
      </c>
      <c r="J25" s="25" t="s">
        <v>126</v>
      </c>
      <c r="K25" s="8"/>
      <c r="L25" s="8"/>
      <c r="M25" s="8"/>
      <c r="N25" s="8"/>
      <c r="O25" s="8"/>
      <c r="P25" s="8"/>
      <c r="Q25" s="8"/>
      <c r="R25" s="8"/>
      <c r="S25" s="8"/>
      <c r="T25" s="8"/>
      <c r="U25" s="8"/>
      <c r="V25" s="8"/>
      <c r="W25" s="8"/>
      <c r="X25" s="8"/>
      <c r="Y25" s="8"/>
      <c r="Z25" s="8"/>
    </row>
    <row r="26" ht="14.25" customHeight="1">
      <c r="A26" s="25">
        <v>22.0</v>
      </c>
      <c r="B26" s="25" t="s">
        <v>135</v>
      </c>
      <c r="C26" s="25" t="s">
        <v>6</v>
      </c>
      <c r="D26" s="36" t="s">
        <v>136</v>
      </c>
      <c r="E26" s="37">
        <v>4.0</v>
      </c>
      <c r="F26" s="37">
        <v>1.0</v>
      </c>
      <c r="G26" s="25" t="s">
        <v>41</v>
      </c>
      <c r="H26" s="24">
        <f t="shared" si="5"/>
        <v>3</v>
      </c>
      <c r="I26" s="24">
        <f t="shared" si="6"/>
        <v>3</v>
      </c>
      <c r="J26" s="25" t="s">
        <v>126</v>
      </c>
      <c r="K26" s="8"/>
      <c r="L26" s="8"/>
      <c r="M26" s="8"/>
      <c r="N26" s="8"/>
      <c r="O26" s="8"/>
      <c r="P26" s="8"/>
      <c r="Q26" s="8"/>
      <c r="R26" s="8"/>
      <c r="S26" s="8"/>
      <c r="T26" s="8"/>
      <c r="U26" s="8"/>
      <c r="V26" s="8"/>
      <c r="W26" s="8"/>
      <c r="X26" s="8"/>
      <c r="Y26" s="8"/>
      <c r="Z26" s="8"/>
    </row>
    <row r="27" ht="14.25" customHeight="1">
      <c r="A27" s="25">
        <v>23.0</v>
      </c>
      <c r="B27" s="24" t="s">
        <v>137</v>
      </c>
      <c r="C27" s="25" t="s">
        <v>6</v>
      </c>
      <c r="D27" s="36" t="s">
        <v>138</v>
      </c>
      <c r="E27" s="37">
        <v>4.0</v>
      </c>
      <c r="F27" s="37">
        <v>2.0</v>
      </c>
      <c r="G27" s="25" t="s">
        <v>41</v>
      </c>
      <c r="H27" s="24">
        <f t="shared" si="5"/>
        <v>3</v>
      </c>
      <c r="I27" s="24">
        <f t="shared" si="6"/>
        <v>3</v>
      </c>
      <c r="J27" s="25" t="s">
        <v>126</v>
      </c>
      <c r="K27" s="8"/>
      <c r="L27" s="8"/>
      <c r="M27" s="8"/>
      <c r="N27" s="8"/>
      <c r="O27" s="8"/>
      <c r="P27" s="8"/>
      <c r="Q27" s="8"/>
      <c r="R27" s="8"/>
      <c r="S27" s="8"/>
      <c r="T27" s="8"/>
      <c r="U27" s="8"/>
      <c r="V27" s="8"/>
      <c r="W27" s="8"/>
      <c r="X27" s="8"/>
      <c r="Y27" s="8"/>
      <c r="Z27" s="8"/>
    </row>
    <row r="28" ht="14.25" customHeight="1">
      <c r="A28" s="25">
        <v>24.0</v>
      </c>
      <c r="B28" s="25" t="s">
        <v>139</v>
      </c>
      <c r="C28" s="25" t="s">
        <v>33</v>
      </c>
      <c r="D28" s="36" t="s">
        <v>140</v>
      </c>
      <c r="E28" s="37">
        <v>4.0</v>
      </c>
      <c r="F28" s="37">
        <v>1.0</v>
      </c>
      <c r="G28" s="25" t="s">
        <v>41</v>
      </c>
      <c r="H28" s="24">
        <f t="shared" si="5"/>
        <v>7</v>
      </c>
      <c r="I28" s="24">
        <f t="shared" si="6"/>
        <v>7</v>
      </c>
      <c r="J28" s="25" t="s">
        <v>126</v>
      </c>
      <c r="K28" s="8"/>
      <c r="L28" s="8"/>
      <c r="M28" s="8"/>
      <c r="N28" s="8"/>
      <c r="O28" s="8"/>
      <c r="P28" s="8"/>
      <c r="Q28" s="8"/>
      <c r="R28" s="8"/>
      <c r="S28" s="8"/>
      <c r="T28" s="8"/>
      <c r="U28" s="8"/>
      <c r="V28" s="8"/>
      <c r="W28" s="8"/>
      <c r="X28" s="8"/>
      <c r="Y28" s="8"/>
      <c r="Z28" s="8"/>
    </row>
    <row r="29" ht="14.25" customHeight="1">
      <c r="A29" s="25">
        <v>25.0</v>
      </c>
      <c r="B29" s="24" t="s">
        <v>139</v>
      </c>
      <c r="C29" s="25" t="s">
        <v>6</v>
      </c>
      <c r="D29" s="36" t="s">
        <v>141</v>
      </c>
      <c r="E29" s="37">
        <v>4.0</v>
      </c>
      <c r="F29" s="37">
        <v>3.0</v>
      </c>
      <c r="G29" s="25" t="s">
        <v>46</v>
      </c>
      <c r="H29" s="24">
        <f t="shared" si="5"/>
        <v>4</v>
      </c>
      <c r="I29" s="24">
        <f t="shared" si="6"/>
        <v>4</v>
      </c>
      <c r="J29" s="25" t="s">
        <v>126</v>
      </c>
      <c r="K29" s="8"/>
      <c r="L29" s="8"/>
      <c r="M29" s="8"/>
      <c r="N29" s="8"/>
      <c r="O29" s="8"/>
      <c r="P29" s="8"/>
      <c r="Q29" s="8"/>
      <c r="R29" s="8"/>
      <c r="S29" s="8"/>
      <c r="T29" s="8"/>
      <c r="U29" s="8"/>
      <c r="V29" s="8"/>
      <c r="W29" s="8"/>
      <c r="X29" s="8"/>
      <c r="Y29" s="8"/>
      <c r="Z29" s="8"/>
    </row>
    <row r="30" ht="14.25" customHeight="1">
      <c r="A30" s="25">
        <v>26.0</v>
      </c>
      <c r="B30" s="24" t="s">
        <v>142</v>
      </c>
      <c r="C30" s="25" t="s">
        <v>6</v>
      </c>
      <c r="D30" s="38" t="s">
        <v>143</v>
      </c>
      <c r="E30" s="25">
        <v>3.0</v>
      </c>
      <c r="F30" s="25">
        <v>2.0</v>
      </c>
      <c r="G30" s="25" t="s">
        <v>41</v>
      </c>
      <c r="H30" s="24">
        <f t="shared" si="5"/>
        <v>3</v>
      </c>
      <c r="I30" s="24">
        <f t="shared" si="6"/>
        <v>3</v>
      </c>
      <c r="J30" s="25" t="s">
        <v>126</v>
      </c>
      <c r="K30" s="8"/>
      <c r="L30" s="8"/>
      <c r="M30" s="8"/>
      <c r="N30" s="8"/>
      <c r="O30" s="8"/>
      <c r="P30" s="8"/>
      <c r="Q30" s="8"/>
      <c r="R30" s="8"/>
      <c r="S30" s="8"/>
      <c r="T30" s="8"/>
      <c r="U30" s="8"/>
      <c r="V30" s="8"/>
      <c r="W30" s="8"/>
      <c r="X30" s="8"/>
      <c r="Y30" s="8"/>
      <c r="Z30" s="8"/>
    </row>
    <row r="31" ht="14.25" customHeight="1">
      <c r="A31" s="39">
        <v>27.0</v>
      </c>
      <c r="B31" s="40" t="s">
        <v>144</v>
      </c>
      <c r="C31" s="39" t="s">
        <v>33</v>
      </c>
      <c r="D31" s="39" t="s">
        <v>145</v>
      </c>
      <c r="E31" s="39">
        <v>3.0</v>
      </c>
      <c r="F31" s="39">
        <v>1.0</v>
      </c>
      <c r="G31" s="39" t="s">
        <v>41</v>
      </c>
      <c r="H31" s="40">
        <f t="shared" ref="H31:H36" si="7">IF(OR(C31="",G31=""),"",IF(C31="EI",IF(G31="Baja",3,IF(G31="Media",4,6)),IF(C31="EO",IF(G31="Baja",4,IF(G31="Media",5,7)),IF(C31="EQ",IF(G31="Baja",3,IF(G31="Media",4,6)),IF(C31="ILF",IF(G31="Baja",7,IF(G31="Media",10,15)),IF(C31="EIF",IF(G31="Baja",5,IF(G31="Media",7,10)),""))))))</f>
        <v>7</v>
      </c>
      <c r="I31" s="40">
        <f t="shared" si="6"/>
        <v>7</v>
      </c>
      <c r="J31" s="40" t="s">
        <v>146</v>
      </c>
      <c r="K31" s="8"/>
      <c r="L31" s="8"/>
      <c r="M31" s="8"/>
      <c r="N31" s="8"/>
      <c r="O31" s="8"/>
      <c r="P31" s="8"/>
      <c r="Q31" s="8"/>
      <c r="R31" s="8"/>
      <c r="S31" s="8"/>
      <c r="T31" s="8"/>
      <c r="U31" s="8"/>
      <c r="V31" s="8"/>
      <c r="W31" s="8"/>
      <c r="X31" s="8"/>
      <c r="Y31" s="8"/>
      <c r="Z31" s="8"/>
    </row>
    <row r="32" ht="14.25" customHeight="1">
      <c r="A32" s="41">
        <v>28.0</v>
      </c>
      <c r="B32" s="24" t="s">
        <v>144</v>
      </c>
      <c r="C32" s="41" t="s">
        <v>6</v>
      </c>
      <c r="D32" s="41" t="s">
        <v>147</v>
      </c>
      <c r="E32" s="41">
        <v>5.0</v>
      </c>
      <c r="F32" s="41">
        <v>2.0</v>
      </c>
      <c r="G32" s="41" t="s">
        <v>46</v>
      </c>
      <c r="H32" s="24">
        <f t="shared" si="7"/>
        <v>4</v>
      </c>
      <c r="I32" s="24">
        <f t="shared" si="6"/>
        <v>4</v>
      </c>
      <c r="J32" s="24" t="s">
        <v>146</v>
      </c>
      <c r="K32" s="8"/>
      <c r="L32" s="8"/>
      <c r="M32" s="8"/>
      <c r="N32" s="8"/>
      <c r="O32" s="8"/>
      <c r="P32" s="8"/>
      <c r="Q32" s="8"/>
      <c r="R32" s="8"/>
      <c r="S32" s="8"/>
      <c r="T32" s="8"/>
      <c r="U32" s="8"/>
      <c r="V32" s="8"/>
      <c r="W32" s="8"/>
      <c r="X32" s="8"/>
      <c r="Y32" s="8"/>
      <c r="Z32" s="8"/>
    </row>
    <row r="33" ht="14.25" customHeight="1">
      <c r="A33" s="41">
        <v>29.0</v>
      </c>
      <c r="B33" s="24" t="s">
        <v>148</v>
      </c>
      <c r="C33" s="41" t="s">
        <v>33</v>
      </c>
      <c r="D33" s="41" t="s">
        <v>149</v>
      </c>
      <c r="E33" s="41">
        <v>6.0</v>
      </c>
      <c r="F33" s="41">
        <v>1.0</v>
      </c>
      <c r="G33" s="41" t="s">
        <v>41</v>
      </c>
      <c r="H33" s="24">
        <f t="shared" si="7"/>
        <v>7</v>
      </c>
      <c r="I33" s="24">
        <f t="shared" si="6"/>
        <v>7</v>
      </c>
      <c r="J33" s="24" t="s">
        <v>146</v>
      </c>
      <c r="K33" s="8"/>
      <c r="L33" s="8"/>
      <c r="M33" s="8"/>
      <c r="N33" s="8"/>
      <c r="O33" s="8"/>
      <c r="P33" s="8"/>
      <c r="Q33" s="8"/>
      <c r="R33" s="8"/>
      <c r="S33" s="8"/>
      <c r="T33" s="8"/>
      <c r="U33" s="8"/>
      <c r="V33" s="8"/>
      <c r="W33" s="8"/>
      <c r="X33" s="8"/>
      <c r="Y33" s="8"/>
      <c r="Z33" s="8"/>
    </row>
    <row r="34" ht="14.25" customHeight="1">
      <c r="A34" s="41">
        <v>30.0</v>
      </c>
      <c r="B34" s="24" t="s">
        <v>148</v>
      </c>
      <c r="C34" s="41" t="s">
        <v>6</v>
      </c>
      <c r="D34" s="41" t="s">
        <v>150</v>
      </c>
      <c r="E34" s="41">
        <v>6.0</v>
      </c>
      <c r="F34" s="41">
        <v>2.0</v>
      </c>
      <c r="G34" s="41" t="s">
        <v>46</v>
      </c>
      <c r="H34" s="24">
        <f t="shared" si="7"/>
        <v>4</v>
      </c>
      <c r="I34" s="24">
        <f t="shared" si="6"/>
        <v>4</v>
      </c>
      <c r="J34" s="24" t="s">
        <v>146</v>
      </c>
      <c r="K34" s="8"/>
      <c r="L34" s="8"/>
      <c r="M34" s="8"/>
      <c r="N34" s="8"/>
      <c r="O34" s="8"/>
      <c r="P34" s="8"/>
      <c r="Q34" s="8"/>
      <c r="R34" s="8"/>
      <c r="S34" s="8"/>
      <c r="T34" s="8"/>
      <c r="U34" s="8"/>
      <c r="V34" s="8"/>
      <c r="W34" s="8"/>
      <c r="X34" s="8"/>
      <c r="Y34" s="8"/>
      <c r="Z34" s="8"/>
    </row>
    <row r="35" ht="14.25" customHeight="1">
      <c r="A35" s="41">
        <v>31.0</v>
      </c>
      <c r="B35" s="24" t="s">
        <v>151</v>
      </c>
      <c r="C35" s="41" t="s">
        <v>6</v>
      </c>
      <c r="D35" s="41" t="s">
        <v>152</v>
      </c>
      <c r="E35" s="41">
        <v>6.0</v>
      </c>
      <c r="F35" s="41">
        <v>2.0</v>
      </c>
      <c r="G35" s="41" t="s">
        <v>46</v>
      </c>
      <c r="H35" s="24">
        <f t="shared" si="7"/>
        <v>4</v>
      </c>
      <c r="I35" s="24">
        <f t="shared" si="6"/>
        <v>4</v>
      </c>
      <c r="J35" s="24" t="s">
        <v>146</v>
      </c>
      <c r="K35" s="8"/>
      <c r="L35" s="8"/>
      <c r="M35" s="8"/>
      <c r="N35" s="8"/>
      <c r="O35" s="8"/>
      <c r="P35" s="8"/>
      <c r="Q35" s="8"/>
      <c r="R35" s="8"/>
      <c r="S35" s="8"/>
      <c r="T35" s="8"/>
      <c r="U35" s="8"/>
      <c r="V35" s="8"/>
      <c r="W35" s="8"/>
      <c r="X35" s="8"/>
      <c r="Y35" s="8"/>
      <c r="Z35" s="8"/>
    </row>
    <row r="36" ht="14.25" customHeight="1">
      <c r="A36" s="41">
        <v>32.0</v>
      </c>
      <c r="B36" s="24" t="s">
        <v>153</v>
      </c>
      <c r="C36" s="41" t="s">
        <v>6</v>
      </c>
      <c r="D36" s="41" t="s">
        <v>154</v>
      </c>
      <c r="E36" s="41">
        <v>2.0</v>
      </c>
      <c r="F36" s="41">
        <v>1.0</v>
      </c>
      <c r="G36" s="41" t="s">
        <v>41</v>
      </c>
      <c r="H36" s="24">
        <f t="shared" si="7"/>
        <v>3</v>
      </c>
      <c r="I36" s="24">
        <f t="shared" si="6"/>
        <v>3</v>
      </c>
      <c r="J36" s="24" t="s">
        <v>146</v>
      </c>
      <c r="K36" s="8"/>
      <c r="L36" s="8"/>
      <c r="M36" s="8"/>
      <c r="N36" s="8"/>
      <c r="O36" s="8"/>
      <c r="P36" s="8"/>
      <c r="Q36" s="8"/>
      <c r="R36" s="8"/>
      <c r="S36" s="8"/>
      <c r="T36" s="8"/>
      <c r="U36" s="8"/>
      <c r="V36" s="8"/>
      <c r="W36" s="8"/>
      <c r="X36" s="8"/>
      <c r="Y36" s="8"/>
      <c r="Z36" s="8"/>
    </row>
    <row r="37" ht="14.25" customHeight="1">
      <c r="A37" s="41">
        <v>33.0</v>
      </c>
      <c r="B37" s="24" t="s">
        <v>155</v>
      </c>
      <c r="C37" s="41" t="s">
        <v>33</v>
      </c>
      <c r="D37" s="41" t="s">
        <v>156</v>
      </c>
      <c r="E37" s="41">
        <v>6.0</v>
      </c>
      <c r="F37" s="41">
        <v>2.0</v>
      </c>
      <c r="G37" s="41" t="s">
        <v>41</v>
      </c>
      <c r="H37" s="24">
        <v>7.0</v>
      </c>
      <c r="I37" s="24">
        <v>7.0</v>
      </c>
      <c r="J37" s="24" t="s">
        <v>157</v>
      </c>
      <c r="K37" s="8"/>
      <c r="L37" s="8"/>
      <c r="M37" s="8"/>
      <c r="N37" s="8"/>
      <c r="O37" s="8"/>
      <c r="P37" s="8"/>
      <c r="Q37" s="8"/>
      <c r="R37" s="8"/>
      <c r="S37" s="8"/>
      <c r="T37" s="8"/>
      <c r="U37" s="8"/>
      <c r="V37" s="8"/>
      <c r="W37" s="8"/>
      <c r="X37" s="8"/>
      <c r="Y37" s="8"/>
      <c r="Z37" s="8"/>
    </row>
    <row r="38" ht="14.25" customHeight="1">
      <c r="A38" s="41">
        <v>34.0</v>
      </c>
      <c r="B38" s="24" t="s">
        <v>155</v>
      </c>
      <c r="C38" s="24" t="s">
        <v>6</v>
      </c>
      <c r="D38" s="41" t="s">
        <v>158</v>
      </c>
      <c r="E38" s="24">
        <v>4.0</v>
      </c>
      <c r="F38" s="24">
        <v>2.0</v>
      </c>
      <c r="G38" s="24" t="s">
        <v>41</v>
      </c>
      <c r="H38" s="24">
        <v>3.0</v>
      </c>
      <c r="I38" s="24">
        <v>3.0</v>
      </c>
      <c r="J38" s="24" t="s">
        <v>157</v>
      </c>
      <c r="K38" s="8"/>
      <c r="L38" s="8"/>
      <c r="M38" s="8"/>
      <c r="N38" s="8"/>
      <c r="O38" s="8"/>
      <c r="P38" s="8"/>
      <c r="Q38" s="8"/>
      <c r="R38" s="8"/>
      <c r="S38" s="8"/>
      <c r="T38" s="8"/>
      <c r="U38" s="8"/>
      <c r="V38" s="8"/>
      <c r="W38" s="8"/>
      <c r="X38" s="8"/>
      <c r="Y38" s="8"/>
      <c r="Z38" s="8"/>
    </row>
    <row r="39" ht="14.25" customHeight="1">
      <c r="A39" s="41">
        <v>35.0</v>
      </c>
      <c r="B39" s="24" t="s">
        <v>159</v>
      </c>
      <c r="C39" s="24" t="s">
        <v>6</v>
      </c>
      <c r="D39" s="41" t="s">
        <v>160</v>
      </c>
      <c r="E39" s="24">
        <v>4.0</v>
      </c>
      <c r="F39" s="24">
        <v>2.0</v>
      </c>
      <c r="G39" s="24" t="s">
        <v>41</v>
      </c>
      <c r="H39" s="24">
        <v>3.0</v>
      </c>
      <c r="I39" s="24">
        <v>3.0</v>
      </c>
      <c r="J39" s="24" t="s">
        <v>157</v>
      </c>
      <c r="K39" s="8"/>
      <c r="L39" s="8"/>
      <c r="M39" s="8"/>
      <c r="N39" s="8"/>
      <c r="O39" s="8"/>
      <c r="P39" s="8"/>
      <c r="Q39" s="8"/>
      <c r="R39" s="8"/>
      <c r="S39" s="8"/>
      <c r="T39" s="8"/>
      <c r="U39" s="8"/>
      <c r="V39" s="8"/>
      <c r="W39" s="8"/>
      <c r="X39" s="8"/>
      <c r="Y39" s="8"/>
      <c r="Z39" s="8"/>
    </row>
    <row r="40" ht="14.25" customHeight="1">
      <c r="A40" s="41">
        <v>36.0</v>
      </c>
      <c r="B40" s="24" t="s">
        <v>161</v>
      </c>
      <c r="C40" s="24" t="s">
        <v>10</v>
      </c>
      <c r="D40" s="41" t="s">
        <v>162</v>
      </c>
      <c r="E40" s="24">
        <v>4.0</v>
      </c>
      <c r="F40" s="24">
        <v>3.0</v>
      </c>
      <c r="G40" s="24" t="s">
        <v>41</v>
      </c>
      <c r="H40" s="24">
        <v>4.0</v>
      </c>
      <c r="I40" s="24">
        <v>4.0</v>
      </c>
      <c r="J40" s="24" t="s">
        <v>157</v>
      </c>
      <c r="K40" s="8"/>
      <c r="L40" s="8"/>
      <c r="M40" s="8"/>
      <c r="N40" s="8"/>
      <c r="O40" s="8"/>
      <c r="P40" s="8"/>
      <c r="Q40" s="8"/>
      <c r="R40" s="8"/>
      <c r="S40" s="8"/>
      <c r="T40" s="8"/>
      <c r="U40" s="8"/>
      <c r="V40" s="8"/>
      <c r="W40" s="8"/>
      <c r="X40" s="8"/>
      <c r="Y40" s="8"/>
      <c r="Z40" s="8"/>
    </row>
    <row r="41" ht="14.25" customHeight="1">
      <c r="A41" s="41">
        <v>37.0</v>
      </c>
      <c r="B41" s="24" t="s">
        <v>163</v>
      </c>
      <c r="C41" s="24" t="s">
        <v>10</v>
      </c>
      <c r="D41" s="41" t="s">
        <v>164</v>
      </c>
      <c r="E41" s="24">
        <v>4.0</v>
      </c>
      <c r="F41" s="24">
        <v>3.0</v>
      </c>
      <c r="G41" s="24" t="s">
        <v>41</v>
      </c>
      <c r="H41" s="24">
        <v>4.0</v>
      </c>
      <c r="I41" s="24">
        <v>4.0</v>
      </c>
      <c r="J41" s="24" t="s">
        <v>157</v>
      </c>
      <c r="K41" s="8"/>
      <c r="L41" s="8"/>
      <c r="M41" s="8"/>
      <c r="N41" s="8"/>
      <c r="O41" s="8"/>
      <c r="P41" s="8"/>
      <c r="Q41" s="8"/>
      <c r="R41" s="8"/>
      <c r="S41" s="8"/>
      <c r="T41" s="8"/>
      <c r="U41" s="8"/>
      <c r="V41" s="8"/>
      <c r="W41" s="8"/>
      <c r="X41" s="8"/>
      <c r="Y41" s="8"/>
      <c r="Z41" s="8"/>
    </row>
    <row r="42" ht="14.25" customHeight="1">
      <c r="A42" s="41">
        <v>38.0</v>
      </c>
      <c r="B42" s="24" t="s">
        <v>165</v>
      </c>
      <c r="C42" s="24" t="s">
        <v>10</v>
      </c>
      <c r="D42" s="41" t="s">
        <v>166</v>
      </c>
      <c r="E42" s="24">
        <v>4.0</v>
      </c>
      <c r="F42" s="24">
        <v>3.0</v>
      </c>
      <c r="G42" s="24" t="s">
        <v>41</v>
      </c>
      <c r="H42" s="24">
        <v>4.0</v>
      </c>
      <c r="I42" s="24">
        <v>4.0</v>
      </c>
      <c r="J42" s="24" t="s">
        <v>157</v>
      </c>
      <c r="K42" s="8"/>
      <c r="L42" s="8"/>
      <c r="M42" s="8"/>
      <c r="N42" s="8"/>
      <c r="O42" s="8"/>
      <c r="P42" s="8"/>
      <c r="Q42" s="8"/>
      <c r="R42" s="8"/>
      <c r="S42" s="8"/>
      <c r="T42" s="8"/>
      <c r="U42" s="8"/>
      <c r="V42" s="8"/>
      <c r="W42" s="8"/>
      <c r="X42" s="8"/>
      <c r="Y42" s="8"/>
      <c r="Z42" s="8"/>
    </row>
    <row r="43" ht="14.25" customHeight="1">
      <c r="A43" s="41">
        <v>39.0</v>
      </c>
      <c r="B43" s="24" t="s">
        <v>167</v>
      </c>
      <c r="C43" s="24" t="s">
        <v>33</v>
      </c>
      <c r="D43" s="41" t="s">
        <v>168</v>
      </c>
      <c r="E43" s="24">
        <v>4.0</v>
      </c>
      <c r="F43" s="24">
        <v>1.0</v>
      </c>
      <c r="G43" s="24" t="s">
        <v>41</v>
      </c>
      <c r="H43" s="24">
        <v>7.0</v>
      </c>
      <c r="I43" s="24">
        <v>7.0</v>
      </c>
      <c r="J43" s="24" t="s">
        <v>157</v>
      </c>
      <c r="K43" s="8"/>
      <c r="L43" s="8"/>
      <c r="M43" s="8"/>
      <c r="N43" s="8"/>
      <c r="O43" s="8"/>
      <c r="P43" s="8"/>
      <c r="Q43" s="8"/>
      <c r="R43" s="8"/>
      <c r="S43" s="8"/>
      <c r="T43" s="8"/>
      <c r="U43" s="8"/>
      <c r="V43" s="8"/>
      <c r="W43" s="8"/>
      <c r="X43" s="8"/>
      <c r="Y43" s="8"/>
      <c r="Z43" s="8"/>
    </row>
    <row r="44" ht="14.25" customHeight="1">
      <c r="A44" s="41">
        <v>40.0</v>
      </c>
      <c r="B44" s="24" t="s">
        <v>167</v>
      </c>
      <c r="C44" s="24" t="s">
        <v>6</v>
      </c>
      <c r="D44" s="41" t="s">
        <v>169</v>
      </c>
      <c r="E44" s="24">
        <v>5.0</v>
      </c>
      <c r="F44" s="24">
        <v>3.0</v>
      </c>
      <c r="G44" s="24" t="s">
        <v>47</v>
      </c>
      <c r="H44" s="24">
        <f t="shared" ref="H44:H50" si="8">IF(OR(C44="",G44=""),"",IF(C44="EI",IF(G44="Baja",3,IF(G44="Media",4,6)),IF(C44="EO",IF(G44="Baja",4,IF(G44="Media",5,7)),IF(C44="EQ",IF(G44="Baja",3,IF(G44="Media",4,6)),IF(C44="ILF",IF(G44="Baja",7,IF(G44="Media",10,15)),IF(C44="EIF",IF(G44="Baja",5,IF(G44="Media",7,10)),""))))))</f>
        <v>6</v>
      </c>
      <c r="I44" s="24">
        <f t="shared" ref="I44:I50" si="9">IF(H44="","",H44)</f>
        <v>6</v>
      </c>
      <c r="J44" s="24" t="s">
        <v>170</v>
      </c>
      <c r="K44" s="8"/>
      <c r="L44" s="8"/>
      <c r="M44" s="8"/>
      <c r="N44" s="8"/>
      <c r="O44" s="8"/>
      <c r="P44" s="8"/>
      <c r="Q44" s="8"/>
      <c r="R44" s="8"/>
      <c r="S44" s="8"/>
      <c r="T44" s="8"/>
      <c r="U44" s="8"/>
      <c r="V44" s="8"/>
      <c r="W44" s="8"/>
      <c r="X44" s="8"/>
      <c r="Y44" s="8"/>
      <c r="Z44" s="8"/>
    </row>
    <row r="45" ht="14.25" customHeight="1">
      <c r="A45" s="41">
        <v>41.0</v>
      </c>
      <c r="B45" s="24" t="s">
        <v>171</v>
      </c>
      <c r="C45" s="24" t="s">
        <v>6</v>
      </c>
      <c r="D45" s="41" t="s">
        <v>172</v>
      </c>
      <c r="E45" s="24">
        <v>5.0</v>
      </c>
      <c r="F45" s="24">
        <v>3.0</v>
      </c>
      <c r="G45" s="24" t="s">
        <v>47</v>
      </c>
      <c r="H45" s="24">
        <f t="shared" si="8"/>
        <v>6</v>
      </c>
      <c r="I45" s="24">
        <f t="shared" si="9"/>
        <v>6</v>
      </c>
      <c r="J45" s="24" t="s">
        <v>170</v>
      </c>
      <c r="K45" s="8"/>
      <c r="L45" s="8"/>
      <c r="M45" s="8"/>
      <c r="N45" s="8"/>
      <c r="O45" s="8"/>
      <c r="P45" s="8"/>
      <c r="Q45" s="8"/>
      <c r="R45" s="8"/>
      <c r="S45" s="8"/>
      <c r="T45" s="8"/>
      <c r="U45" s="8"/>
      <c r="V45" s="8"/>
      <c r="W45" s="8"/>
      <c r="X45" s="8"/>
      <c r="Y45" s="8"/>
      <c r="Z45" s="8"/>
    </row>
    <row r="46" ht="14.25" customHeight="1">
      <c r="A46" s="41">
        <v>42.0</v>
      </c>
      <c r="B46" s="24" t="s">
        <v>173</v>
      </c>
      <c r="C46" s="24" t="s">
        <v>33</v>
      </c>
      <c r="D46" s="41" t="s">
        <v>174</v>
      </c>
      <c r="E46" s="24">
        <v>5.0</v>
      </c>
      <c r="F46" s="24">
        <v>1.0</v>
      </c>
      <c r="G46" s="24" t="s">
        <v>41</v>
      </c>
      <c r="H46" s="24">
        <f t="shared" si="8"/>
        <v>7</v>
      </c>
      <c r="I46" s="24">
        <f t="shared" si="9"/>
        <v>7</v>
      </c>
      <c r="J46" s="24" t="s">
        <v>170</v>
      </c>
      <c r="K46" s="8"/>
      <c r="L46" s="8"/>
      <c r="M46" s="8"/>
      <c r="N46" s="8"/>
      <c r="O46" s="8"/>
      <c r="P46" s="8"/>
      <c r="Q46" s="8"/>
      <c r="R46" s="8"/>
      <c r="S46" s="8"/>
      <c r="T46" s="8"/>
      <c r="U46" s="8"/>
      <c r="V46" s="8"/>
      <c r="W46" s="8"/>
      <c r="X46" s="8"/>
      <c r="Y46" s="8"/>
      <c r="Z46" s="8"/>
    </row>
    <row r="47" ht="14.25" customHeight="1">
      <c r="A47" s="41">
        <v>43.0</v>
      </c>
      <c r="B47" s="24" t="s">
        <v>175</v>
      </c>
      <c r="C47" s="24" t="s">
        <v>18</v>
      </c>
      <c r="D47" s="41" t="s">
        <v>176</v>
      </c>
      <c r="E47" s="24">
        <v>4.0</v>
      </c>
      <c r="F47" s="24">
        <v>4.0</v>
      </c>
      <c r="G47" s="24" t="s">
        <v>46</v>
      </c>
      <c r="H47" s="24">
        <f t="shared" si="8"/>
        <v>4</v>
      </c>
      <c r="I47" s="24">
        <f t="shared" si="9"/>
        <v>4</v>
      </c>
      <c r="J47" s="24" t="s">
        <v>170</v>
      </c>
      <c r="K47" s="8"/>
      <c r="L47" s="8"/>
      <c r="M47" s="8"/>
      <c r="N47" s="8"/>
      <c r="O47" s="8"/>
      <c r="P47" s="8"/>
      <c r="Q47" s="8"/>
      <c r="R47" s="8"/>
      <c r="S47" s="8"/>
      <c r="T47" s="8"/>
      <c r="U47" s="8"/>
      <c r="V47" s="8"/>
      <c r="W47" s="8"/>
      <c r="X47" s="8"/>
      <c r="Y47" s="8"/>
      <c r="Z47" s="8"/>
    </row>
    <row r="48" ht="14.25" customHeight="1">
      <c r="A48" s="41">
        <v>44.0</v>
      </c>
      <c r="B48" s="24" t="s">
        <v>177</v>
      </c>
      <c r="C48" s="24" t="s">
        <v>10</v>
      </c>
      <c r="D48" s="41" t="s">
        <v>178</v>
      </c>
      <c r="E48" s="24">
        <v>7.0</v>
      </c>
      <c r="F48" s="24">
        <v>3.0</v>
      </c>
      <c r="G48" s="24" t="s">
        <v>46</v>
      </c>
      <c r="H48" s="24">
        <f t="shared" si="8"/>
        <v>5</v>
      </c>
      <c r="I48" s="24">
        <f t="shared" si="9"/>
        <v>5</v>
      </c>
      <c r="J48" s="24" t="s">
        <v>170</v>
      </c>
      <c r="K48" s="8"/>
      <c r="L48" s="8"/>
      <c r="M48" s="8"/>
      <c r="N48" s="8"/>
      <c r="O48" s="8"/>
      <c r="P48" s="8"/>
      <c r="Q48" s="8"/>
      <c r="R48" s="8"/>
      <c r="S48" s="8"/>
      <c r="T48" s="8"/>
      <c r="U48" s="8"/>
      <c r="V48" s="8"/>
      <c r="W48" s="8"/>
      <c r="X48" s="8"/>
      <c r="Y48" s="8"/>
      <c r="Z48" s="8"/>
    </row>
    <row r="49" ht="14.25" customHeight="1">
      <c r="A49" s="41">
        <v>45.0</v>
      </c>
      <c r="B49" s="24" t="s">
        <v>179</v>
      </c>
      <c r="C49" s="24" t="s">
        <v>10</v>
      </c>
      <c r="D49" s="41" t="s">
        <v>180</v>
      </c>
      <c r="E49" s="24">
        <v>4.0</v>
      </c>
      <c r="F49" s="24">
        <v>4.0</v>
      </c>
      <c r="G49" s="24" t="s">
        <v>46</v>
      </c>
      <c r="H49" s="24">
        <f t="shared" si="8"/>
        <v>5</v>
      </c>
      <c r="I49" s="24">
        <f t="shared" si="9"/>
        <v>5</v>
      </c>
      <c r="J49" s="24" t="s">
        <v>170</v>
      </c>
      <c r="K49" s="8"/>
      <c r="L49" s="8"/>
      <c r="M49" s="8"/>
      <c r="N49" s="8"/>
      <c r="O49" s="8"/>
      <c r="P49" s="8"/>
      <c r="Q49" s="8"/>
      <c r="R49" s="8"/>
      <c r="S49" s="8"/>
      <c r="T49" s="8"/>
      <c r="U49" s="8"/>
      <c r="V49" s="8"/>
      <c r="W49" s="8"/>
      <c r="X49" s="8"/>
      <c r="Y49" s="8"/>
      <c r="Z49" s="8"/>
    </row>
    <row r="50" ht="14.25" customHeight="1">
      <c r="A50" s="41">
        <v>46.0</v>
      </c>
      <c r="B50" s="24" t="s">
        <v>181</v>
      </c>
      <c r="C50" s="24" t="s">
        <v>18</v>
      </c>
      <c r="D50" s="41" t="s">
        <v>182</v>
      </c>
      <c r="E50" s="24">
        <v>7.0</v>
      </c>
      <c r="F50" s="24">
        <v>1.0</v>
      </c>
      <c r="G50" s="24" t="s">
        <v>41</v>
      </c>
      <c r="H50" s="24">
        <f t="shared" si="8"/>
        <v>3</v>
      </c>
      <c r="I50" s="24">
        <f t="shared" si="9"/>
        <v>3</v>
      </c>
      <c r="J50" s="24" t="s">
        <v>170</v>
      </c>
      <c r="K50" s="8"/>
      <c r="L50" s="8"/>
      <c r="M50" s="8"/>
      <c r="N50" s="8"/>
      <c r="O50" s="8"/>
      <c r="P50" s="8"/>
      <c r="Q50" s="8"/>
      <c r="R50" s="8"/>
      <c r="S50" s="8"/>
      <c r="T50" s="8"/>
      <c r="U50" s="8"/>
      <c r="V50" s="8"/>
      <c r="W50" s="8"/>
      <c r="X50" s="8"/>
      <c r="Y50" s="8"/>
      <c r="Z50" s="8"/>
    </row>
    <row r="51" ht="14.25" customHeight="1">
      <c r="A51" s="42"/>
      <c r="B51" s="42"/>
      <c r="C51" s="42"/>
      <c r="D51" s="42"/>
      <c r="E51" s="42"/>
      <c r="F51" s="42"/>
      <c r="G51" s="42"/>
      <c r="H51" s="42"/>
      <c r="I51" s="8"/>
      <c r="J51" s="8"/>
      <c r="K51" s="8"/>
      <c r="L51" s="8"/>
      <c r="M51" s="8"/>
      <c r="N51" s="8"/>
      <c r="O51" s="8"/>
      <c r="P51" s="8"/>
      <c r="Q51" s="8"/>
      <c r="R51" s="8"/>
      <c r="S51" s="8"/>
      <c r="T51" s="8"/>
      <c r="U51" s="8"/>
      <c r="V51" s="8"/>
      <c r="W51" s="8"/>
      <c r="X51" s="8"/>
      <c r="Y51" s="8"/>
      <c r="Z51" s="8"/>
    </row>
    <row r="52" ht="14.25" customHeight="1">
      <c r="A52" s="42"/>
      <c r="B52" s="42"/>
      <c r="C52" s="42"/>
      <c r="D52" s="42"/>
      <c r="E52" s="42"/>
      <c r="F52" s="42"/>
      <c r="G52" s="42"/>
      <c r="H52" s="42"/>
      <c r="I52" s="8"/>
      <c r="J52" s="8"/>
      <c r="K52" s="8"/>
      <c r="L52" s="8"/>
      <c r="M52" s="8"/>
      <c r="N52" s="8"/>
      <c r="O52" s="8"/>
      <c r="P52" s="8"/>
      <c r="Q52" s="8"/>
      <c r="R52" s="8"/>
      <c r="S52" s="8"/>
      <c r="T52" s="8"/>
      <c r="U52" s="8"/>
      <c r="V52" s="8"/>
      <c r="W52" s="8"/>
      <c r="X52" s="8"/>
      <c r="Y52" s="8"/>
      <c r="Z52" s="8"/>
    </row>
    <row r="53" ht="14.25" customHeight="1">
      <c r="A53" s="42"/>
      <c r="B53" s="42"/>
      <c r="C53" s="42"/>
      <c r="D53" s="42"/>
      <c r="E53" s="42"/>
      <c r="F53" s="42"/>
      <c r="G53" s="42"/>
      <c r="H53" s="42"/>
      <c r="I53" s="8"/>
      <c r="J53" s="8"/>
      <c r="K53" s="8"/>
      <c r="L53" s="8"/>
      <c r="M53" s="8"/>
      <c r="N53" s="8"/>
      <c r="O53" s="8"/>
      <c r="P53" s="8"/>
      <c r="Q53" s="8"/>
      <c r="R53" s="8"/>
      <c r="S53" s="8"/>
      <c r="T53" s="8"/>
      <c r="U53" s="8"/>
      <c r="V53" s="8"/>
      <c r="W53" s="8"/>
      <c r="X53" s="8"/>
      <c r="Y53" s="8"/>
      <c r="Z53" s="8"/>
    </row>
    <row r="54" ht="14.25" customHeight="1">
      <c r="A54" s="42"/>
      <c r="B54" s="42"/>
      <c r="C54" s="42"/>
      <c r="D54" s="42"/>
      <c r="E54" s="42"/>
      <c r="F54" s="42"/>
      <c r="G54" s="42"/>
      <c r="H54" s="42"/>
      <c r="I54" s="8"/>
      <c r="J54" s="8"/>
      <c r="K54" s="8"/>
      <c r="L54" s="8"/>
      <c r="M54" s="8"/>
      <c r="N54" s="8"/>
      <c r="O54" s="8"/>
      <c r="P54" s="8"/>
      <c r="Q54" s="8"/>
      <c r="R54" s="8"/>
      <c r="S54" s="8"/>
      <c r="T54" s="8"/>
      <c r="U54" s="8"/>
      <c r="V54" s="8"/>
      <c r="W54" s="8"/>
      <c r="X54" s="8"/>
      <c r="Y54" s="8"/>
      <c r="Z54" s="8"/>
    </row>
    <row r="55" ht="14.25" customHeight="1">
      <c r="A55" s="42"/>
      <c r="B55" s="42"/>
      <c r="C55" s="42"/>
      <c r="D55" s="42"/>
      <c r="E55" s="42"/>
      <c r="F55" s="42"/>
      <c r="G55" s="42"/>
      <c r="H55" s="42"/>
      <c r="I55" s="8"/>
      <c r="J55" s="8"/>
      <c r="K55" s="8"/>
      <c r="L55" s="8"/>
      <c r="M55" s="8"/>
      <c r="N55" s="8"/>
      <c r="O55" s="8"/>
      <c r="P55" s="8"/>
      <c r="Q55" s="8"/>
      <c r="R55" s="8"/>
      <c r="S55" s="8"/>
      <c r="T55" s="8"/>
      <c r="U55" s="8"/>
      <c r="V55" s="8"/>
      <c r="W55" s="8"/>
      <c r="X55" s="8"/>
      <c r="Y55" s="8"/>
      <c r="Z55" s="8"/>
    </row>
    <row r="56" ht="14.25" customHeight="1">
      <c r="A56" s="42"/>
      <c r="B56" s="42"/>
      <c r="C56" s="42"/>
      <c r="D56" s="42"/>
      <c r="E56" s="42"/>
      <c r="F56" s="42"/>
      <c r="G56" s="42"/>
      <c r="H56" s="42"/>
      <c r="I56" s="8"/>
      <c r="J56" s="8"/>
      <c r="K56" s="8"/>
      <c r="L56" s="8"/>
      <c r="M56" s="8"/>
      <c r="N56" s="8"/>
      <c r="O56" s="8"/>
      <c r="P56" s="8"/>
      <c r="Q56" s="8"/>
      <c r="R56" s="8"/>
      <c r="S56" s="8"/>
      <c r="T56" s="8"/>
      <c r="U56" s="8"/>
      <c r="V56" s="8"/>
      <c r="W56" s="8"/>
      <c r="X56" s="8"/>
      <c r="Y56" s="8"/>
      <c r="Z56" s="8"/>
    </row>
    <row r="57" ht="14.25" customHeight="1">
      <c r="A57" s="42"/>
      <c r="B57" s="42"/>
      <c r="C57" s="42"/>
      <c r="D57" s="42"/>
      <c r="E57" s="42"/>
      <c r="F57" s="42"/>
      <c r="G57" s="42"/>
      <c r="H57" s="42"/>
      <c r="I57" s="8"/>
      <c r="J57" s="8"/>
      <c r="K57" s="8"/>
      <c r="L57" s="8"/>
      <c r="M57" s="8"/>
      <c r="N57" s="8"/>
      <c r="O57" s="8"/>
      <c r="P57" s="8"/>
      <c r="Q57" s="8"/>
      <c r="R57" s="8"/>
      <c r="S57" s="8"/>
      <c r="T57" s="8"/>
      <c r="U57" s="8"/>
      <c r="V57" s="8"/>
      <c r="W57" s="8"/>
      <c r="X57" s="8"/>
      <c r="Y57" s="8"/>
      <c r="Z57" s="8"/>
    </row>
    <row r="58" ht="14.25" customHeight="1">
      <c r="A58" s="8"/>
      <c r="B58" s="42"/>
      <c r="C58" s="42"/>
      <c r="D58" s="42"/>
      <c r="E58" s="42"/>
      <c r="F58" s="42"/>
      <c r="G58" s="42"/>
      <c r="H58" s="42"/>
      <c r="I58" s="42"/>
      <c r="J58" s="42"/>
      <c r="K58" s="8"/>
      <c r="L58" s="8"/>
      <c r="M58" s="8"/>
      <c r="N58" s="8"/>
      <c r="O58" s="8"/>
      <c r="P58" s="8"/>
      <c r="Q58" s="8"/>
      <c r="R58" s="8"/>
      <c r="S58" s="8"/>
      <c r="T58" s="8"/>
      <c r="U58" s="8"/>
      <c r="V58" s="8"/>
      <c r="W58" s="8"/>
      <c r="X58" s="8"/>
      <c r="Y58" s="8"/>
      <c r="Z58" s="8"/>
    </row>
    <row r="59" ht="14.25" customHeight="1">
      <c r="A59" s="8"/>
      <c r="B59" s="42"/>
      <c r="C59" s="42"/>
      <c r="D59" s="42"/>
      <c r="E59" s="42"/>
      <c r="F59" s="42"/>
      <c r="G59" s="42"/>
      <c r="H59" s="42"/>
      <c r="I59" s="42"/>
      <c r="J59" s="42"/>
      <c r="K59" s="8"/>
      <c r="L59" s="8"/>
      <c r="M59" s="8"/>
      <c r="N59" s="8"/>
      <c r="O59" s="8"/>
      <c r="P59" s="8"/>
      <c r="Q59" s="8"/>
      <c r="R59" s="8"/>
      <c r="S59" s="8"/>
      <c r="T59" s="8"/>
      <c r="U59" s="8"/>
      <c r="V59" s="8"/>
      <c r="W59" s="8"/>
      <c r="X59" s="8"/>
      <c r="Y59" s="8"/>
      <c r="Z59" s="8"/>
    </row>
    <row r="60" ht="14.25" customHeight="1">
      <c r="A60" s="8"/>
      <c r="B60" s="42"/>
      <c r="C60" s="42"/>
      <c r="D60" s="42"/>
      <c r="E60" s="42"/>
      <c r="F60" s="42"/>
      <c r="G60" s="42"/>
      <c r="H60" s="42"/>
      <c r="I60" s="42"/>
      <c r="J60" s="42"/>
      <c r="K60" s="8"/>
      <c r="L60" s="8"/>
      <c r="M60" s="8"/>
      <c r="N60" s="8"/>
      <c r="O60" s="8"/>
      <c r="P60" s="8"/>
      <c r="Q60" s="8"/>
      <c r="R60" s="8"/>
      <c r="S60" s="8"/>
      <c r="T60" s="8"/>
      <c r="U60" s="8"/>
      <c r="V60" s="8"/>
      <c r="W60" s="8"/>
      <c r="X60" s="8"/>
      <c r="Y60" s="8"/>
      <c r="Z60" s="8"/>
    </row>
    <row r="61" ht="14.25" customHeight="1">
      <c r="A61" s="8"/>
      <c r="B61" s="42"/>
      <c r="C61" s="42"/>
      <c r="D61" s="42"/>
      <c r="E61" s="42"/>
      <c r="F61" s="42"/>
      <c r="G61" s="42"/>
      <c r="H61" s="42"/>
      <c r="I61" s="42"/>
      <c r="J61" s="42"/>
      <c r="K61" s="8"/>
      <c r="L61" s="8"/>
      <c r="M61" s="8"/>
      <c r="N61" s="8"/>
      <c r="O61" s="8"/>
      <c r="P61" s="8"/>
      <c r="Q61" s="8"/>
      <c r="R61" s="8"/>
      <c r="S61" s="8"/>
      <c r="T61" s="8"/>
      <c r="U61" s="8"/>
      <c r="V61" s="8"/>
      <c r="W61" s="8"/>
      <c r="X61" s="8"/>
      <c r="Y61" s="8"/>
      <c r="Z61" s="8"/>
    </row>
    <row r="62" ht="14.25" customHeight="1">
      <c r="A62" s="8"/>
      <c r="B62" s="42"/>
      <c r="C62" s="42"/>
      <c r="D62" s="42"/>
      <c r="E62" s="42"/>
      <c r="F62" s="42"/>
      <c r="G62" s="42"/>
      <c r="H62" s="42"/>
      <c r="I62" s="42"/>
      <c r="J62" s="42"/>
      <c r="K62" s="8"/>
      <c r="L62" s="8"/>
      <c r="M62" s="8"/>
      <c r="N62" s="8"/>
      <c r="O62" s="8"/>
      <c r="P62" s="8"/>
      <c r="Q62" s="8"/>
      <c r="R62" s="8"/>
      <c r="S62" s="8"/>
      <c r="T62" s="8"/>
      <c r="U62" s="8"/>
      <c r="V62" s="8"/>
      <c r="W62" s="8"/>
      <c r="X62" s="8"/>
      <c r="Y62" s="8"/>
      <c r="Z62" s="8"/>
    </row>
    <row r="63" ht="14.25" customHeight="1">
      <c r="A63" s="8"/>
      <c r="B63" s="42"/>
      <c r="C63" s="42"/>
      <c r="D63" s="42"/>
      <c r="E63" s="42"/>
      <c r="F63" s="42"/>
      <c r="G63" s="42"/>
      <c r="H63" s="42"/>
      <c r="I63" s="42"/>
      <c r="J63" s="42"/>
      <c r="K63" s="8"/>
      <c r="L63" s="8"/>
      <c r="M63" s="8"/>
      <c r="N63" s="8"/>
      <c r="O63" s="8"/>
      <c r="P63" s="8"/>
      <c r="Q63" s="8"/>
      <c r="R63" s="8"/>
      <c r="S63" s="8"/>
      <c r="T63" s="8"/>
      <c r="U63" s="8"/>
      <c r="V63" s="8"/>
      <c r="W63" s="8"/>
      <c r="X63" s="8"/>
      <c r="Y63" s="8"/>
      <c r="Z63" s="8"/>
    </row>
    <row r="64" ht="14.25" customHeight="1">
      <c r="A64" s="8"/>
      <c r="B64" s="42"/>
      <c r="C64" s="42"/>
      <c r="D64" s="42"/>
      <c r="E64" s="42"/>
      <c r="F64" s="42"/>
      <c r="G64" s="42"/>
      <c r="H64" s="42"/>
      <c r="I64" s="42"/>
      <c r="J64" s="42"/>
      <c r="K64" s="8"/>
      <c r="L64" s="8"/>
      <c r="M64" s="8"/>
      <c r="N64" s="8"/>
      <c r="O64" s="8"/>
      <c r="P64" s="8"/>
      <c r="Q64" s="8"/>
      <c r="R64" s="8"/>
      <c r="S64" s="8"/>
      <c r="T64" s="8"/>
      <c r="U64" s="8"/>
      <c r="V64" s="8"/>
      <c r="W64" s="8"/>
      <c r="X64" s="8"/>
      <c r="Y64" s="8"/>
      <c r="Z64" s="8"/>
    </row>
    <row r="65" ht="14.25" customHeight="1">
      <c r="A65" s="8"/>
      <c r="B65" s="42"/>
      <c r="C65" s="42"/>
      <c r="D65" s="42"/>
      <c r="E65" s="42"/>
      <c r="F65" s="42"/>
      <c r="G65" s="42"/>
      <c r="H65" s="42"/>
      <c r="I65" s="42"/>
      <c r="J65" s="42"/>
      <c r="K65" s="8"/>
      <c r="L65" s="8"/>
      <c r="M65" s="8"/>
      <c r="N65" s="8"/>
      <c r="O65" s="8"/>
      <c r="P65" s="8"/>
      <c r="Q65" s="8"/>
      <c r="R65" s="8"/>
      <c r="S65" s="8"/>
      <c r="T65" s="8"/>
      <c r="U65" s="8"/>
      <c r="V65" s="8"/>
      <c r="W65" s="8"/>
      <c r="X65" s="8"/>
      <c r="Y65" s="8"/>
      <c r="Z65" s="8"/>
    </row>
    <row r="66" ht="14.25" customHeight="1">
      <c r="A66" s="8"/>
      <c r="B66" s="43"/>
      <c r="C66" s="43"/>
      <c r="D66" s="43"/>
      <c r="E66" s="43"/>
      <c r="F66" s="43"/>
      <c r="G66" s="43"/>
      <c r="H66" s="43"/>
      <c r="I66" s="43"/>
      <c r="J66" s="43"/>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4.2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4.2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4.2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4.2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4.2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4.2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4.2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4.2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sheetData>
  <autoFilter ref="$A$4:$J$42"/>
  <mergeCells count="2">
    <mergeCell ref="A1:J1"/>
    <mergeCell ref="A2:J2"/>
  </mergeCells>
  <dataValidations>
    <dataValidation type="list" allowBlank="1" sqref="C5:C50">
      <formula1>"EI,EO,EQ,ILF,EIF"</formula1>
    </dataValidation>
    <dataValidation type="list" allowBlank="1" sqref="G5:G50">
      <formula1>"Baja,Media,Alta"</formula1>
    </dataValidation>
  </dataValidation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0"/>
    <col customWidth="1" min="2" max="2" width="18.0"/>
    <col customWidth="1" min="3" max="3" width="25.0"/>
    <col customWidth="1" min="4" max="4" width="5.0"/>
    <col customWidth="1" min="5" max="26" width="8.71"/>
  </cols>
  <sheetData>
    <row r="1" ht="14.25" customHeight="1">
      <c r="A1" s="1" t="s">
        <v>0</v>
      </c>
      <c r="B1" s="2"/>
      <c r="C1" s="2"/>
      <c r="D1" s="3"/>
    </row>
    <row r="2" ht="14.25" customHeight="1"/>
    <row r="3" ht="14.25" customHeight="1">
      <c r="A3" s="5" t="s">
        <v>3</v>
      </c>
      <c r="B3" s="5" t="s">
        <v>4</v>
      </c>
      <c r="C3" s="5" t="s">
        <v>5</v>
      </c>
    </row>
    <row r="4" ht="14.25" customHeight="1">
      <c r="A4" s="7" t="s">
        <v>6</v>
      </c>
      <c r="B4" s="7">
        <f>COUNTIF(Funciones!C5:C42,"EI")</f>
        <v>21</v>
      </c>
      <c r="C4" s="7">
        <f>SUMIF(Funciones!C5:C42,"EI",Funciones!I5:I42)</f>
        <v>69</v>
      </c>
    </row>
    <row r="5" ht="14.25" customHeight="1">
      <c r="A5" s="7" t="s">
        <v>10</v>
      </c>
      <c r="B5" s="7">
        <f>COUNTIF(Funciones!C5:C42,"EO")</f>
        <v>3</v>
      </c>
      <c r="C5" s="7">
        <f>SUMIF(Funciones!C5:C42,"EO",Funciones!I5:I42)</f>
        <v>12</v>
      </c>
    </row>
    <row r="6" ht="14.25" customHeight="1">
      <c r="A6" s="7" t="s">
        <v>18</v>
      </c>
      <c r="B6" s="7">
        <f>COUNTIF(Funciones!C5:C42,"EQ")</f>
        <v>4</v>
      </c>
      <c r="C6" s="7">
        <f>SUMIF(Funciones!C5:C42,"EQ",Funciones!I5:I42)</f>
        <v>13</v>
      </c>
    </row>
    <row r="7" ht="14.25" customHeight="1">
      <c r="A7" s="7" t="s">
        <v>33</v>
      </c>
      <c r="B7" s="7">
        <f>COUNTIF(Funciones!C5:C42,"ILF")</f>
        <v>9</v>
      </c>
      <c r="C7" s="7">
        <f>SUMIF(Funciones!C5:C42,"ILF",Funciones!I5:I42)</f>
        <v>63</v>
      </c>
    </row>
    <row r="8" ht="14.25" customHeight="1">
      <c r="A8" s="7" t="s">
        <v>38</v>
      </c>
      <c r="B8" s="7">
        <f>COUNTIF(Funciones!C5:C42,"EIF")</f>
        <v>0</v>
      </c>
      <c r="C8" s="7">
        <f>SUMIF(Funciones!C5:C42,"EIF",Funciones!I5:I42)</f>
        <v>0</v>
      </c>
    </row>
    <row r="9" ht="14.25" customHeight="1">
      <c r="A9" s="28" t="s">
        <v>43</v>
      </c>
      <c r="B9" s="28">
        <f t="shared" ref="B9:C9" si="1">SUM(B4:B8)</f>
        <v>37</v>
      </c>
      <c r="C9" s="28">
        <f t="shared" si="1"/>
        <v>157</v>
      </c>
    </row>
    <row r="10" ht="14.25" customHeight="1"/>
    <row r="11" ht="14.25" customHeight="1"/>
    <row r="12" ht="14.25" customHeight="1">
      <c r="A12" s="30" t="s">
        <v>45</v>
      </c>
    </row>
    <row r="13" ht="14.25" customHeight="1">
      <c r="A13" s="5" t="s">
        <v>3</v>
      </c>
      <c r="B13" s="5" t="s">
        <v>41</v>
      </c>
      <c r="C13" s="5" t="s">
        <v>46</v>
      </c>
      <c r="D13" s="5" t="s">
        <v>47</v>
      </c>
    </row>
    <row r="14" ht="14.25" customHeight="1">
      <c r="A14" s="7" t="s">
        <v>6</v>
      </c>
      <c r="B14" s="7">
        <v>3.0</v>
      </c>
      <c r="C14" s="7">
        <v>4.0</v>
      </c>
      <c r="D14" s="7">
        <v>6.0</v>
      </c>
    </row>
    <row r="15" ht="14.25" customHeight="1">
      <c r="A15" s="7" t="s">
        <v>10</v>
      </c>
      <c r="B15" s="7">
        <v>4.0</v>
      </c>
      <c r="C15" s="7">
        <v>5.0</v>
      </c>
      <c r="D15" s="7">
        <v>7.0</v>
      </c>
    </row>
    <row r="16" ht="14.25" customHeight="1">
      <c r="A16" s="7" t="s">
        <v>18</v>
      </c>
      <c r="B16" s="7">
        <v>3.0</v>
      </c>
      <c r="C16" s="7">
        <v>4.0</v>
      </c>
      <c r="D16" s="7">
        <v>6.0</v>
      </c>
    </row>
    <row r="17" ht="14.25" customHeight="1">
      <c r="A17" s="7" t="s">
        <v>33</v>
      </c>
      <c r="B17" s="7">
        <v>7.0</v>
      </c>
      <c r="C17" s="7">
        <v>10.0</v>
      </c>
      <c r="D17" s="7">
        <v>15.0</v>
      </c>
    </row>
    <row r="18" ht="14.25" customHeight="1">
      <c r="A18" s="7" t="s">
        <v>38</v>
      </c>
      <c r="B18" s="7">
        <v>5.0</v>
      </c>
      <c r="C18" s="7">
        <v>7.0</v>
      </c>
      <c r="D18" s="7">
        <v>10.0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8.0"/>
    <col customWidth="1" min="2" max="2" width="15.0"/>
    <col customWidth="1" min="3" max="3" width="48.0"/>
    <col customWidth="1" min="4" max="4" width="10.0"/>
    <col customWidth="1" min="5" max="5" width="18.0"/>
    <col customWidth="1" min="6" max="26" width="8.71"/>
  </cols>
  <sheetData>
    <row r="1" ht="14.25" customHeight="1">
      <c r="A1" s="12" t="s">
        <v>7</v>
      </c>
      <c r="B1" s="2"/>
      <c r="C1" s="2"/>
      <c r="D1" s="2"/>
      <c r="E1" s="3"/>
      <c r="F1" s="14"/>
      <c r="G1" s="14"/>
      <c r="H1" s="14"/>
      <c r="I1" s="14"/>
      <c r="J1" s="14"/>
      <c r="K1" s="14"/>
      <c r="L1" s="14"/>
      <c r="M1" s="14"/>
      <c r="N1" s="14"/>
      <c r="O1" s="14"/>
      <c r="P1" s="14"/>
      <c r="Q1" s="14"/>
      <c r="R1" s="14"/>
      <c r="S1" s="14"/>
      <c r="T1" s="14"/>
      <c r="U1" s="14"/>
      <c r="V1" s="14"/>
      <c r="W1" s="14"/>
      <c r="X1" s="14"/>
      <c r="Y1" s="14"/>
      <c r="Z1" s="14"/>
    </row>
    <row r="2" ht="42.75" customHeight="1">
      <c r="A2" s="18" t="s">
        <v>11</v>
      </c>
      <c r="B2" s="20" t="s">
        <v>12</v>
      </c>
      <c r="C2" s="18" t="s">
        <v>15</v>
      </c>
      <c r="D2" s="21" t="s">
        <v>16</v>
      </c>
      <c r="E2" s="20" t="s">
        <v>19</v>
      </c>
      <c r="F2" s="14"/>
      <c r="G2" s="14"/>
      <c r="H2" s="14"/>
      <c r="I2" s="14"/>
      <c r="J2" s="14"/>
      <c r="K2" s="14"/>
      <c r="L2" s="14"/>
      <c r="M2" s="14"/>
      <c r="N2" s="14"/>
      <c r="O2" s="14"/>
      <c r="P2" s="14"/>
      <c r="Q2" s="14"/>
      <c r="R2" s="14"/>
      <c r="S2" s="14"/>
      <c r="T2" s="14"/>
      <c r="U2" s="14"/>
      <c r="V2" s="14"/>
      <c r="W2" s="14"/>
      <c r="X2" s="14"/>
      <c r="Y2" s="14"/>
      <c r="Z2" s="14"/>
    </row>
    <row r="3" ht="14.25" customHeight="1">
      <c r="A3" s="23" t="s">
        <v>25</v>
      </c>
      <c r="B3" s="23" t="s">
        <v>31</v>
      </c>
      <c r="C3" s="23" t="s">
        <v>32</v>
      </c>
      <c r="D3" s="23" t="s">
        <v>34</v>
      </c>
      <c r="E3" s="23" t="s">
        <v>35</v>
      </c>
      <c r="F3" s="14"/>
      <c r="G3" s="14"/>
      <c r="H3" s="14"/>
      <c r="I3" s="14"/>
      <c r="J3" s="14"/>
      <c r="K3" s="14"/>
      <c r="L3" s="14"/>
      <c r="M3" s="14"/>
      <c r="N3" s="14"/>
      <c r="O3" s="14"/>
      <c r="P3" s="14"/>
      <c r="Q3" s="14"/>
      <c r="R3" s="14"/>
      <c r="S3" s="14"/>
      <c r="T3" s="14"/>
      <c r="U3" s="14"/>
      <c r="V3" s="14"/>
      <c r="W3" s="14"/>
      <c r="X3" s="14"/>
      <c r="Y3" s="14"/>
      <c r="Z3" s="14"/>
    </row>
    <row r="4" ht="14.25" customHeight="1">
      <c r="A4" s="24" t="s">
        <v>37</v>
      </c>
      <c r="B4" s="25">
        <v>4.0</v>
      </c>
      <c r="C4" s="25" t="s">
        <v>42</v>
      </c>
      <c r="D4" s="24">
        <v>1.0</v>
      </c>
      <c r="E4" s="24">
        <f t="shared" ref="E4:E17" si="1">B4*D4</f>
        <v>4</v>
      </c>
      <c r="F4" s="14"/>
      <c r="G4" s="14"/>
      <c r="H4" s="14"/>
      <c r="I4" s="14"/>
      <c r="J4" s="14"/>
      <c r="K4" s="14"/>
      <c r="L4" s="14"/>
      <c r="M4" s="14"/>
      <c r="N4" s="14"/>
      <c r="O4" s="14"/>
      <c r="P4" s="14"/>
      <c r="Q4" s="14"/>
      <c r="R4" s="14"/>
      <c r="S4" s="14"/>
      <c r="T4" s="14"/>
      <c r="U4" s="14"/>
      <c r="V4" s="14"/>
      <c r="W4" s="14"/>
      <c r="X4" s="14"/>
      <c r="Y4" s="14"/>
      <c r="Z4" s="14"/>
    </row>
    <row r="5" ht="14.25" customHeight="1">
      <c r="A5" s="24" t="s">
        <v>48</v>
      </c>
      <c r="B5" s="25">
        <v>3.0</v>
      </c>
      <c r="C5" s="25" t="s">
        <v>49</v>
      </c>
      <c r="D5" s="24">
        <v>2.0</v>
      </c>
      <c r="E5" s="24">
        <f t="shared" si="1"/>
        <v>6</v>
      </c>
      <c r="F5" s="14"/>
      <c r="G5" s="14"/>
      <c r="H5" s="14"/>
      <c r="I5" s="14"/>
      <c r="J5" s="14"/>
      <c r="K5" s="14"/>
      <c r="L5" s="14"/>
      <c r="M5" s="14"/>
      <c r="N5" s="14"/>
      <c r="O5" s="14"/>
      <c r="P5" s="14"/>
      <c r="Q5" s="14"/>
      <c r="R5" s="14"/>
      <c r="S5" s="14"/>
      <c r="T5" s="14"/>
      <c r="U5" s="14"/>
      <c r="V5" s="14"/>
      <c r="W5" s="14"/>
      <c r="X5" s="14"/>
      <c r="Y5" s="14"/>
      <c r="Z5" s="14"/>
    </row>
    <row r="6" ht="14.25" customHeight="1">
      <c r="A6" s="24" t="s">
        <v>50</v>
      </c>
      <c r="B6" s="25">
        <v>3.0</v>
      </c>
      <c r="C6" s="25" t="s">
        <v>51</v>
      </c>
      <c r="D6" s="24">
        <v>3.0</v>
      </c>
      <c r="E6" s="24">
        <f t="shared" si="1"/>
        <v>9</v>
      </c>
      <c r="F6" s="14"/>
      <c r="G6" s="14"/>
      <c r="H6" s="14"/>
      <c r="I6" s="14"/>
      <c r="J6" s="14"/>
      <c r="K6" s="14"/>
      <c r="L6" s="14"/>
      <c r="M6" s="14"/>
      <c r="N6" s="14"/>
      <c r="O6" s="14"/>
      <c r="P6" s="14"/>
      <c r="Q6" s="14"/>
      <c r="R6" s="14"/>
      <c r="S6" s="14"/>
      <c r="T6" s="14"/>
      <c r="U6" s="14"/>
      <c r="V6" s="14"/>
      <c r="W6" s="14"/>
      <c r="X6" s="14"/>
      <c r="Y6" s="14"/>
      <c r="Z6" s="14"/>
    </row>
    <row r="7" ht="14.25" customHeight="1">
      <c r="A7" s="24" t="s">
        <v>53</v>
      </c>
      <c r="B7" s="25">
        <v>1.0</v>
      </c>
      <c r="C7" s="25" t="s">
        <v>55</v>
      </c>
      <c r="D7" s="24">
        <v>4.0</v>
      </c>
      <c r="E7" s="24">
        <f t="shared" si="1"/>
        <v>4</v>
      </c>
      <c r="F7" s="14"/>
      <c r="G7" s="14"/>
      <c r="H7" s="14"/>
      <c r="I7" s="14"/>
      <c r="J7" s="14"/>
      <c r="K7" s="14"/>
      <c r="L7" s="14"/>
      <c r="M7" s="14"/>
      <c r="N7" s="14"/>
      <c r="O7" s="14"/>
      <c r="P7" s="14"/>
      <c r="Q7" s="14"/>
      <c r="R7" s="14"/>
      <c r="S7" s="14"/>
      <c r="T7" s="14"/>
      <c r="U7" s="14"/>
      <c r="V7" s="14"/>
      <c r="W7" s="14"/>
      <c r="X7" s="14"/>
      <c r="Y7" s="14"/>
      <c r="Z7" s="14"/>
    </row>
    <row r="8" ht="14.25" customHeight="1">
      <c r="A8" s="24" t="s">
        <v>58</v>
      </c>
      <c r="B8" s="25">
        <v>1.0</v>
      </c>
      <c r="C8" s="25" t="s">
        <v>59</v>
      </c>
      <c r="D8" s="24">
        <v>5.0</v>
      </c>
      <c r="E8" s="24">
        <f t="shared" si="1"/>
        <v>5</v>
      </c>
      <c r="F8" s="14"/>
      <c r="G8" s="14"/>
      <c r="H8" s="14"/>
      <c r="I8" s="14"/>
      <c r="J8" s="14"/>
      <c r="K8" s="14"/>
      <c r="L8" s="14"/>
      <c r="M8" s="14"/>
      <c r="N8" s="14"/>
      <c r="O8" s="14"/>
      <c r="P8" s="14"/>
      <c r="Q8" s="14"/>
      <c r="R8" s="14"/>
      <c r="S8" s="14"/>
      <c r="T8" s="14"/>
      <c r="U8" s="14"/>
      <c r="V8" s="14"/>
      <c r="W8" s="14"/>
      <c r="X8" s="14"/>
      <c r="Y8" s="14"/>
      <c r="Z8" s="14"/>
    </row>
    <row r="9" ht="14.25" customHeight="1">
      <c r="A9" s="24" t="s">
        <v>60</v>
      </c>
      <c r="B9" s="25">
        <v>5.0</v>
      </c>
      <c r="C9" s="25" t="s">
        <v>61</v>
      </c>
      <c r="D9" s="24">
        <v>6.0</v>
      </c>
      <c r="E9" s="24">
        <f t="shared" si="1"/>
        <v>30</v>
      </c>
      <c r="F9" s="14"/>
      <c r="G9" s="14"/>
      <c r="H9" s="14"/>
      <c r="I9" s="14"/>
      <c r="J9" s="14"/>
      <c r="K9" s="14"/>
      <c r="L9" s="14"/>
      <c r="M9" s="14"/>
      <c r="N9" s="14"/>
      <c r="O9" s="14"/>
      <c r="P9" s="14"/>
      <c r="Q9" s="14"/>
      <c r="R9" s="14"/>
      <c r="S9" s="14"/>
      <c r="T9" s="14"/>
      <c r="U9" s="14"/>
      <c r="V9" s="14"/>
      <c r="W9" s="14"/>
      <c r="X9" s="14"/>
      <c r="Y9" s="14"/>
      <c r="Z9" s="14"/>
    </row>
    <row r="10" ht="14.25" customHeight="1">
      <c r="A10" s="24" t="s">
        <v>62</v>
      </c>
      <c r="B10" s="25">
        <v>4.0</v>
      </c>
      <c r="C10" s="25" t="s">
        <v>63</v>
      </c>
      <c r="D10" s="24">
        <v>7.0</v>
      </c>
      <c r="E10" s="24">
        <f t="shared" si="1"/>
        <v>28</v>
      </c>
      <c r="F10" s="14"/>
      <c r="G10" s="14"/>
      <c r="H10" s="14"/>
      <c r="I10" s="14"/>
      <c r="J10" s="14"/>
      <c r="K10" s="14"/>
      <c r="L10" s="14"/>
      <c r="M10" s="14"/>
      <c r="N10" s="14"/>
      <c r="O10" s="14"/>
      <c r="P10" s="14"/>
      <c r="Q10" s="14"/>
      <c r="R10" s="14"/>
      <c r="S10" s="14"/>
      <c r="T10" s="14"/>
      <c r="U10" s="14"/>
      <c r="V10" s="14"/>
      <c r="W10" s="14"/>
      <c r="X10" s="14"/>
      <c r="Y10" s="14"/>
      <c r="Z10" s="14"/>
    </row>
    <row r="11" ht="14.25" customHeight="1">
      <c r="A11" s="24" t="s">
        <v>64</v>
      </c>
      <c r="B11" s="25">
        <v>3.0</v>
      </c>
      <c r="C11" s="25" t="s">
        <v>65</v>
      </c>
      <c r="D11" s="24">
        <v>8.0</v>
      </c>
      <c r="E11" s="24">
        <f t="shared" si="1"/>
        <v>24</v>
      </c>
      <c r="F11" s="14"/>
      <c r="G11" s="14"/>
      <c r="H11" s="14"/>
      <c r="I11" s="14"/>
      <c r="J11" s="14"/>
      <c r="K11" s="14"/>
      <c r="L11" s="14"/>
      <c r="M11" s="14"/>
      <c r="N11" s="14"/>
      <c r="O11" s="14"/>
      <c r="P11" s="14"/>
      <c r="Q11" s="14"/>
      <c r="R11" s="14"/>
      <c r="S11" s="14"/>
      <c r="T11" s="14"/>
      <c r="U11" s="14"/>
      <c r="V11" s="14"/>
      <c r="W11" s="14"/>
      <c r="X11" s="14"/>
      <c r="Y11" s="14"/>
      <c r="Z11" s="14"/>
    </row>
    <row r="12" ht="14.25" customHeight="1">
      <c r="A12" s="24" t="s">
        <v>66</v>
      </c>
      <c r="B12" s="25">
        <v>2.0</v>
      </c>
      <c r="C12" s="25" t="s">
        <v>67</v>
      </c>
      <c r="D12" s="24">
        <v>9.0</v>
      </c>
      <c r="E12" s="24">
        <f t="shared" si="1"/>
        <v>18</v>
      </c>
      <c r="F12" s="14"/>
      <c r="G12" s="14"/>
      <c r="H12" s="14"/>
      <c r="I12" s="14"/>
      <c r="J12" s="14"/>
      <c r="K12" s="14"/>
      <c r="L12" s="14"/>
      <c r="M12" s="14"/>
      <c r="N12" s="14"/>
      <c r="O12" s="14"/>
      <c r="P12" s="14"/>
      <c r="Q12" s="14"/>
      <c r="R12" s="14"/>
      <c r="S12" s="14"/>
      <c r="T12" s="14"/>
      <c r="U12" s="14"/>
      <c r="V12" s="14"/>
      <c r="W12" s="14"/>
      <c r="X12" s="14"/>
      <c r="Y12" s="14"/>
      <c r="Z12" s="14"/>
    </row>
    <row r="13" ht="14.25" customHeight="1">
      <c r="A13" s="24" t="s">
        <v>70</v>
      </c>
      <c r="B13" s="25">
        <v>1.0</v>
      </c>
      <c r="C13" s="25" t="s">
        <v>71</v>
      </c>
      <c r="D13" s="24">
        <v>10.0</v>
      </c>
      <c r="E13" s="24">
        <f t="shared" si="1"/>
        <v>10</v>
      </c>
      <c r="F13" s="14"/>
      <c r="G13" s="14"/>
      <c r="H13" s="14"/>
      <c r="I13" s="14"/>
      <c r="J13" s="14"/>
      <c r="K13" s="14"/>
      <c r="L13" s="14"/>
      <c r="M13" s="14"/>
      <c r="N13" s="14"/>
      <c r="O13" s="14"/>
      <c r="P13" s="14"/>
      <c r="Q13" s="14"/>
      <c r="R13" s="14"/>
      <c r="S13" s="14"/>
      <c r="T13" s="14"/>
      <c r="U13" s="14"/>
      <c r="V13" s="14"/>
      <c r="W13" s="14"/>
      <c r="X13" s="14"/>
      <c r="Y13" s="14"/>
      <c r="Z13" s="14"/>
    </row>
    <row r="14" ht="14.25" customHeight="1">
      <c r="A14" s="24" t="s">
        <v>74</v>
      </c>
      <c r="B14" s="25">
        <v>1.0</v>
      </c>
      <c r="C14" s="25" t="s">
        <v>75</v>
      </c>
      <c r="D14" s="24">
        <v>11.0</v>
      </c>
      <c r="E14" s="24">
        <f t="shared" si="1"/>
        <v>11</v>
      </c>
      <c r="F14" s="14"/>
      <c r="G14" s="14"/>
      <c r="H14" s="14"/>
      <c r="I14" s="14"/>
      <c r="J14" s="14"/>
      <c r="K14" s="14"/>
      <c r="L14" s="14"/>
      <c r="M14" s="14"/>
      <c r="N14" s="14"/>
      <c r="O14" s="14"/>
      <c r="P14" s="14"/>
      <c r="Q14" s="14"/>
      <c r="R14" s="14"/>
      <c r="S14" s="14"/>
      <c r="T14" s="14"/>
      <c r="U14" s="14"/>
      <c r="V14" s="14"/>
      <c r="W14" s="14"/>
      <c r="X14" s="14"/>
      <c r="Y14" s="14"/>
      <c r="Z14" s="14"/>
    </row>
    <row r="15" ht="14.25" customHeight="1">
      <c r="A15" s="24" t="s">
        <v>97</v>
      </c>
      <c r="B15" s="25">
        <v>2.0</v>
      </c>
      <c r="C15" s="25" t="s">
        <v>102</v>
      </c>
      <c r="D15" s="24">
        <v>12.0</v>
      </c>
      <c r="E15" s="24">
        <f t="shared" si="1"/>
        <v>24</v>
      </c>
      <c r="F15" s="14"/>
      <c r="G15" s="14"/>
      <c r="H15" s="14"/>
      <c r="I15" s="14"/>
      <c r="J15" s="14"/>
      <c r="K15" s="14"/>
      <c r="L15" s="14"/>
      <c r="M15" s="14"/>
      <c r="N15" s="14"/>
      <c r="O15" s="14"/>
      <c r="P15" s="14"/>
      <c r="Q15" s="14"/>
      <c r="R15" s="14"/>
      <c r="S15" s="14"/>
      <c r="T15" s="14"/>
      <c r="U15" s="14"/>
      <c r="V15" s="14"/>
      <c r="W15" s="14"/>
      <c r="X15" s="14"/>
      <c r="Y15" s="14"/>
      <c r="Z15" s="14"/>
    </row>
    <row r="16" ht="14.25" customHeight="1">
      <c r="A16" s="24" t="s">
        <v>103</v>
      </c>
      <c r="B16" s="25">
        <v>0.0</v>
      </c>
      <c r="C16" s="25" t="s">
        <v>104</v>
      </c>
      <c r="D16" s="24">
        <v>13.0</v>
      </c>
      <c r="E16" s="24">
        <f t="shared" si="1"/>
        <v>0</v>
      </c>
      <c r="F16" s="14"/>
      <c r="G16" s="14"/>
      <c r="H16" s="14"/>
      <c r="I16" s="14"/>
      <c r="J16" s="14"/>
      <c r="K16" s="14"/>
      <c r="L16" s="14"/>
      <c r="M16" s="14"/>
      <c r="N16" s="14"/>
      <c r="O16" s="14"/>
      <c r="P16" s="14"/>
      <c r="Q16" s="14"/>
      <c r="R16" s="14"/>
      <c r="S16" s="14"/>
      <c r="T16" s="14"/>
      <c r="U16" s="14"/>
      <c r="V16" s="14"/>
      <c r="W16" s="14"/>
      <c r="X16" s="14"/>
      <c r="Y16" s="14"/>
      <c r="Z16" s="14"/>
    </row>
    <row r="17" ht="14.25" customHeight="1">
      <c r="A17" s="24" t="s">
        <v>105</v>
      </c>
      <c r="B17" s="25">
        <v>2.0</v>
      </c>
      <c r="C17" s="25" t="s">
        <v>106</v>
      </c>
      <c r="D17" s="24">
        <v>14.0</v>
      </c>
      <c r="E17" s="24">
        <f t="shared" si="1"/>
        <v>28</v>
      </c>
      <c r="F17" s="14"/>
      <c r="G17" s="14"/>
      <c r="H17" s="14"/>
      <c r="I17" s="14"/>
      <c r="J17" s="14"/>
      <c r="K17" s="14"/>
      <c r="L17" s="14"/>
      <c r="M17" s="14"/>
      <c r="N17" s="14"/>
      <c r="O17" s="14"/>
      <c r="P17" s="14"/>
      <c r="Q17" s="14"/>
      <c r="R17" s="14"/>
      <c r="S17" s="14"/>
      <c r="T17" s="14"/>
      <c r="U17" s="14"/>
      <c r="V17" s="14"/>
      <c r="W17" s="14"/>
      <c r="X17" s="14"/>
      <c r="Y17" s="14"/>
      <c r="Z17" s="14"/>
    </row>
    <row r="18" ht="14.2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4.25" customHeight="1">
      <c r="A19" s="33" t="s">
        <v>107</v>
      </c>
      <c r="B19" s="34">
        <f>SUM(E4:E17)</f>
        <v>201</v>
      </c>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4.25" customHeight="1">
      <c r="A20" s="33" t="s">
        <v>113</v>
      </c>
      <c r="B20" s="34">
        <f>0.65+0.01*B19</f>
        <v>2.66</v>
      </c>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4.25" customHeight="1">
      <c r="A21" s="33" t="s">
        <v>117</v>
      </c>
      <c r="B21" s="34">
        <f>Resumen!C9*B20</f>
        <v>417.62</v>
      </c>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4.2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4.2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4.2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4.2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4.2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4.2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4.2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4.2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4.2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4.2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4.2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4.2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4.2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4.2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4.2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4.2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4.2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4.2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4.2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4.2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4.2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4.2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4.2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4.2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4.2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4.2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4.2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4.2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4.2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4.2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4.2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4.2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4.2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4.2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4.2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4.2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4.2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4.2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4.2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4.2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4.2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4.2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4.2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4.2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4.2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4.2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4.2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4.2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4.2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4.2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4.2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4.2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4.2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4.2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4.2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4.2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4.2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4.2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4.2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4.2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4.2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4.2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4.2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4.2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4.2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4.2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4.2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4.2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4.2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4.2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4.2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4.2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4.2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4.2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4.2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4.2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4.2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4.2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4.2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4.2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4.2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4.2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4.2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4.2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4.2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4.2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4.2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4.2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4.2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4.2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4.2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4.2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4.2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4.2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4.2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4.2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4.2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4.2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4.2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4.2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4.2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4.2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4.2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4.2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4.2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4.2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4.2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4.2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4.2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4.2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4.2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4.2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4.2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4.2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4.2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4.2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4.2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4.2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4.2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4.2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4.2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4.2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4.2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4.2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4.2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4.2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4.2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4.2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4.2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4.2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4.2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4.2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4.2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4.2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4.2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4.2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4.2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4.2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4.2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4.2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4.2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4.2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4.2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4.2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4.2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4.2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4.2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4.2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4.2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4.2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4.2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4.2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4.2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4.2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4.2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4.2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4.2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4.2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4.2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4.2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4.2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4.2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4.2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4.2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4.2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4.2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4.2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4.2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4.2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4.2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4.2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4.2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4.2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4.2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4.2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4.2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4.2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4.2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4.2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4.2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4.2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4.2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4.2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4.2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4.2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4.2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4.2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4.2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4.2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4.2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4.2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4.2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4.2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4.2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4.2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4.2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4.2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4.2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4.2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4.2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4.2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4.2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4.2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4.2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4.2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4.2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4.2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4.2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4.2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4.2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4.2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4.2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4.2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4.2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4.2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4.2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4.2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4.2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4.2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4.2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4.2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4.2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4.2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4.2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4.2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4.2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4.2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4.2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4.2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4.2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4.2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4.2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4.2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4.2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4.2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4.2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4.2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4.2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4.2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4.2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4.2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4.2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4.2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4.2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4.2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4.2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4.2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4.2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4.2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4.2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4.2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4.2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4.2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4.2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4.2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4.2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4.2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4.2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4.2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4.2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4.2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4.2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4.2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4.2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4.2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4.2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4.2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4.2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4.2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4.2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4.2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4.2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4.2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4.2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4.2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4.2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4.2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4.2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4.2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4.2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4.2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4.2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4.2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4.2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4.2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4.2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4.2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4.2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4.2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4.2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4.2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4.2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4.2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4.2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4.2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4.2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4.2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4.2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4.2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4.2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4.2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4.2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4.2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4.2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4.2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4.2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4.2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4.2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4.2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4.2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4.2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4.2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4.2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4.2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4.2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4.2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4.2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4.2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4.2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4.2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4.2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4.2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4.2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4.2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4.2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4.2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4.2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4.2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4.2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4.2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4.2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4.2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4.2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4.2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4.2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4.2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4.2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4.2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4.2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4.2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4.2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4.2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4.2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4.2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4.2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4.2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4.2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4.2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4.2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4.2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4.2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4.2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4.2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4.2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4.2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4.2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4.2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4.2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4.2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4.2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4.2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4.2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4.2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4.2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4.2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4.2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4.2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4.2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4.2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4.2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4.2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4.2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4.2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4.2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4.2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4.2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4.2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4.2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4.2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4.2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4.2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4.2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4.2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4.2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4.2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4.2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4.2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4.2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4.2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4.2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4.2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4.2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4.2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4.2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4.2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4.2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4.2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4.2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4.2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4.2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4.2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4.2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4.2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4.2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4.2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4.2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4.2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4.2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4.2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4.2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4.2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4.2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4.2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4.2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4.2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4.2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4.2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4.2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4.2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4.2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4.2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4.2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4.2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4.2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4.2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4.2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4.2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4.2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4.2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4.2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4.2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4.2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4.2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4.2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4.2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4.2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4.2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4.2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4.2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4.2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4.2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4.2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4.2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4.2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4.2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4.2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4.2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4.2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4.2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4.2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4.2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4.2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4.2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4.2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4.2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4.2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4.2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4.2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4.2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4.2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4.2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4.2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4.2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4.2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4.2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4.2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4.2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4.2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4.2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4.2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4.2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4.2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4.2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4.2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4.2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4.2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4.2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4.2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4.2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4.2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4.2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4.2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4.2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4.2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4.2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4.2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4.2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4.2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4.2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4.2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4.2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4.2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4.2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4.2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4.2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4.2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4.2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4.2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4.2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4.2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4.2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4.2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4.2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4.2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4.2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4.2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4.2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4.2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4.2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4.2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4.2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4.2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4.2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4.2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4.2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4.2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4.2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4.2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4.2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4.2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4.2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4.2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4.2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4.2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4.2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4.2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4.2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4.2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4.2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4.2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4.2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4.2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4.2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4.2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4.2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4.2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4.2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4.2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4.2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4.2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4.2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4.2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4.2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4.2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4.2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4.2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4.2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4.2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4.2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4.2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4.2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4.2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4.2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4.2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4.2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4.2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4.2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4.2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4.2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4.2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4.2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4.2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4.2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4.2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4.2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4.2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4.2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4.2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4.2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4.2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4.2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4.2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4.2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4.2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4.2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4.2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4.2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4.2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4.2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4.2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4.2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4.2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4.2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4.2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4.2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4.2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4.2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4.2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4.2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4.2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4.2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4.2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4.2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4.2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4.2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4.2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4.2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4.2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4.2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4.2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4.2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4.2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4.2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4.2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4.2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4.2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4.2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4.2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4.2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4.2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4.2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4.2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4.2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4.2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4.2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4.2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4.2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4.2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4.2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4.2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4.2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4.2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4.2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4.2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4.2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4.2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4.2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4.2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4.2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4.2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4.2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4.2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4.2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4.2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4.2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4.2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4.2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4.2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4.2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4.2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4.2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4.2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4.2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4.2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4.2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4.2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4.2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4.2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4.2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4.2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4.2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4.2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4.2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4.2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4.2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4.2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4.2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4.2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4.2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4.2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4.2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4.2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4.2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4.2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4.2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4.2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4.2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4.2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4.2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4.2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4.2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4.2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4.2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4.2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4.2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4.2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4.2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4.2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4.2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4.2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4.2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4.2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4.2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4.2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4.2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4.2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4.2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4.2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4.2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4.2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4.2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4.2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4.2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4.2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4.2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4.2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4.2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4.2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4.2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4.2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4.2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4.2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4.2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4.2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4.2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4.2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4.2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4.2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4.2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4.2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4.2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4.2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4.2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4.2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4.2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4.2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4.2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4.2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4.2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4.2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4.2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4.2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4.2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4.2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4.2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4.2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4.2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4.2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4.2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4.2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4.2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4.2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4.2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4.2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4.2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4.2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4.2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4.2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4.2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4.2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4.2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4.2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4.2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4.2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4.2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4.2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4.2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4.2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4.2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4.2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4.2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4.2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4.2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4.2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4.2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4.2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4.2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4.2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4.2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4.2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4.2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4.2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4.2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4.2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4.2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4.2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4.2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4.2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4.2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4.2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4.2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4.2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4.2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4.2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4.2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4.2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4.2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4.2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4.2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4.2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4.2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4.2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4.2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4.2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4.2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4.2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4.2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4.2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4.2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4.2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4.2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4.2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4.2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4.2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4.2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4.2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4.2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4.2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4.2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4.2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4.2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4.2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4.2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4.2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4.2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4.2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4.2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4.2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4.2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4.2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4.2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4.2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4.2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4.2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4.2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4.2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4.2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4.2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4.2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4.2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4.2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4.2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4.2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4.2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4.2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4.2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4.2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4.2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4.2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4.2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4.2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4.2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4.2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4.2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4.2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4.2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4.2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4.2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4.2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4.2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4.2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4.2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4.2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4.2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4.2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4.2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4.2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4.2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4.2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4.2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4.2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4.2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4.2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4.2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4.2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4.2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4.2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4.2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4.2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4.2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4.2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4.2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4.2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4.2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4.2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4.2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4.2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4.2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4.2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4.2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4.2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4.2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4.2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4.2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4.2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4.2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4.2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4.2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4.2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4.2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4.2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4.2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4.2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4.2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4.2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4.2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4.2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4.2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4.2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4.2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4.2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4.2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4.2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4.2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4.2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4.2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4.2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4.2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4.2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4.2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4.2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4.2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4.2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4.2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4.2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4.2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4.2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4.2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4.2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4.2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4.2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4.2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4.2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4.2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4.2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4.2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4.2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4.2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4.2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4.2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4.2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4.2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4.2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4.2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4.2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4.2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4.2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4.2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4.2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4.2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4.2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4.2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4.2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4.2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4.2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4.2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4.2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4.2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4.2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4.2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4.2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4.2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4.2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4.2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4.2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4.2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4.2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4.2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4.2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4.2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4.2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4.2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4.2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4.2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4.2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4.2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4.2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4.2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4.2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4.2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4.2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4.2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4.2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4.2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4.2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4.2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4.2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4.2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4.2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4.2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4.2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4.2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4.2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4.2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4.2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4.2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4.2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4.2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4.2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A1:E1"/>
  </mergeCells>
  <dataValidations>
    <dataValidation type="decimal" allowBlank="1" sqref="B4:B17">
      <formula1>0.0</formula1>
      <formula2>5.0</formula2>
    </dataValidation>
  </dataValidation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57"/>
    <col customWidth="1" min="2" max="2" width="10.71"/>
    <col customWidth="1" hidden="1" min="3" max="3" width="10.86"/>
    <col customWidth="1" min="4" max="26" width="10.71"/>
  </cols>
  <sheetData>
    <row r="1" ht="14.25" customHeight="1"/>
    <row r="2" ht="14.25" customHeight="1">
      <c r="A2" s="6" t="s">
        <v>2</v>
      </c>
      <c r="B2" s="9"/>
      <c r="C2" s="10"/>
    </row>
    <row r="3" ht="14.25" customHeight="1">
      <c r="A3" s="11"/>
      <c r="B3" s="13"/>
      <c r="C3" s="15"/>
    </row>
    <row r="4" ht="14.25" customHeight="1">
      <c r="A4" s="17" t="s">
        <v>9</v>
      </c>
      <c r="B4" s="19">
        <v>1.0</v>
      </c>
      <c r="C4" s="15"/>
    </row>
    <row r="5" ht="14.25" customHeight="1">
      <c r="A5" s="17" t="s">
        <v>13</v>
      </c>
      <c r="B5" s="19">
        <v>7.0</v>
      </c>
      <c r="C5" s="15"/>
    </row>
    <row r="6" ht="14.25" customHeight="1">
      <c r="A6" s="17" t="s">
        <v>14</v>
      </c>
      <c r="B6" s="19">
        <v>20.0</v>
      </c>
      <c r="C6" s="15"/>
    </row>
    <row r="7" ht="14.25" customHeight="1">
      <c r="A7" s="17" t="s">
        <v>17</v>
      </c>
      <c r="B7" s="19">
        <v>10.0</v>
      </c>
      <c r="C7" s="15"/>
    </row>
    <row r="8" ht="14.25" customHeight="1">
      <c r="A8" s="15"/>
      <c r="B8" s="15"/>
      <c r="C8" s="15"/>
    </row>
    <row r="9" ht="14.25" customHeight="1">
      <c r="A9" s="17" t="s">
        <v>20</v>
      </c>
      <c r="B9" s="26">
        <f>Ajuste!B21/(1/B7)</f>
        <v>4176.2</v>
      </c>
      <c r="C9" s="15"/>
    </row>
    <row r="10" ht="14.25" customHeight="1">
      <c r="A10" s="17" t="s">
        <v>40</v>
      </c>
      <c r="B10" s="27">
        <f>B9/B4</f>
        <v>4176.2</v>
      </c>
      <c r="C10" s="15"/>
    </row>
    <row r="11" ht="14.25" customHeight="1">
      <c r="A11" s="17" t="s">
        <v>44</v>
      </c>
      <c r="B11" s="29">
        <f>B10/(B6*B5)</f>
        <v>29.83</v>
      </c>
      <c r="C11" s="1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C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0"/>
    <col customWidth="1" min="2" max="2" width="100.0"/>
    <col customWidth="1" min="3" max="26" width="8.71"/>
  </cols>
  <sheetData>
    <row r="1" ht="14.25" customHeight="1">
      <c r="A1" s="31" t="s">
        <v>78</v>
      </c>
      <c r="B1" s="32" t="s">
        <v>79</v>
      </c>
    </row>
    <row r="2" ht="14.25" customHeight="1">
      <c r="A2" s="31" t="s">
        <v>80</v>
      </c>
      <c r="B2" s="32" t="s">
        <v>81</v>
      </c>
    </row>
    <row r="3" ht="14.25" customHeight="1">
      <c r="A3" s="31" t="s">
        <v>82</v>
      </c>
      <c r="B3" s="32" t="s">
        <v>83</v>
      </c>
    </row>
    <row r="4" ht="14.25" customHeight="1">
      <c r="A4" s="31" t="s">
        <v>84</v>
      </c>
      <c r="B4" s="32" t="s">
        <v>85</v>
      </c>
    </row>
    <row r="5" ht="14.25" customHeight="1">
      <c r="A5" s="31" t="s">
        <v>87</v>
      </c>
      <c r="B5" s="32" t="s">
        <v>88</v>
      </c>
    </row>
    <row r="6" ht="14.25" customHeight="1">
      <c r="A6" s="31" t="s">
        <v>89</v>
      </c>
      <c r="B6" s="32" t="s">
        <v>90</v>
      </c>
    </row>
    <row r="7" ht="14.25" customHeight="1">
      <c r="A7" s="31" t="s">
        <v>91</v>
      </c>
      <c r="B7" s="32" t="s">
        <v>92</v>
      </c>
    </row>
    <row r="8" ht="14.25" customHeight="1">
      <c r="A8" s="31" t="s">
        <v>93</v>
      </c>
      <c r="B8" s="32" t="s">
        <v>94</v>
      </c>
    </row>
    <row r="9" ht="14.25" customHeight="1">
      <c r="A9" s="31" t="s">
        <v>96</v>
      </c>
      <c r="B9" s="32" t="s">
        <v>99</v>
      </c>
    </row>
    <row r="10" ht="14.25" customHeight="1">
      <c r="A10" s="31" t="s">
        <v>100</v>
      </c>
      <c r="B10" s="32" t="s">
        <v>101</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fitToHeight="0" orientation="landscape"/>
  <drawing r:id="rId1"/>
</worksheet>
</file>