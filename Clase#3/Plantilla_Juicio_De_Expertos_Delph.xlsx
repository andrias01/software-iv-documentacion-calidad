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mera ronda" sheetId="1" r:id="rId5"/>
  </sheets>
  <definedNames/>
  <calcPr/>
</workbook>
</file>

<file path=xl/sharedStrings.xml><?xml version="1.0" encoding="utf-8"?>
<sst xmlns="http://schemas.openxmlformats.org/spreadsheetml/2006/main" count="184" uniqueCount="174">
  <si>
    <t>ID</t>
  </si>
  <si>
    <t>Función / Requisito</t>
  </si>
  <si>
    <t>Jean Paul/ Horas-Hombre estimadas</t>
  </si>
  <si>
    <t>Justificación</t>
  </si>
  <si>
    <t>Juan Jose/ Horas-Hombre estimadas</t>
  </si>
  <si>
    <t>Santiago/ Horas-Hombre estimadas</t>
  </si>
  <si>
    <t>Andrés/ Horas-Hombre estimadas</t>
  </si>
  <si>
    <t>Promedio de expertos</t>
  </si>
  <si>
    <t>Registrar Profesores</t>
  </si>
  <si>
    <t>CRUD create + 2 validaciones (formato correo, unicidad cédula)</t>
  </si>
  <si>
    <t>Requiere formulario, validación de datos, verificación de cédula y almacenamiento del profesor.</t>
  </si>
  <si>
    <t>Formulario con validación de correo institucional y de cédula única, más pruebas del flujo completo de registro.</t>
  </si>
  <si>
    <t>Es un CRUD de crear, pero además del formulario toca validar el formato del correo institucional y que la cédula no se repita en la base de datos. Sumo el endpoint, la pantalla y las pruebas de los casos en que los datos vienen mal.</t>
  </si>
  <si>
    <t>Consultar Profesores</t>
  </si>
  <si>
    <t>Listado + 3 filtros, sin lógica de negocio compleja</t>
  </si>
  <si>
    <t>Incluye listado de profesores y filtros por nombre, cédula y estado.</t>
  </si>
  <si>
    <t>Listado con filtros por nombre, cédula y estado; consulta sencilla sin lógica de negocio adicional.</t>
  </si>
  <si>
    <t>Es una consulta de solo lectura con tres filtros (nombre, cédula y estado). No tiene reglas de negocio: casi todo el tiempo se va en armar la tabla y en probar que los filtros funcionen combinados.</t>
  </si>
  <si>
    <t xml:space="preserve">Modificar Profesores </t>
  </si>
  <si>
    <t>Update simple, reutiliza validaciones de registrar</t>
  </si>
  <si>
    <t>Requiere actualización de nombre y correo con validaciones de datos.</t>
  </si>
  <si>
    <t>Actualización de nombre y correo reutilizando las validaciones del registro, más pruebas de los casos de error.</t>
  </si>
  <si>
    <t>El update solo cambia nombre y correo, y reutilizo las mismas validaciones que ya hice en el registro. Por eso baja el tiempo: es más reusar código que escribirlo, más las pruebas de los casos de error.</t>
  </si>
  <si>
    <t>Inactivar Profesores</t>
  </si>
  <si>
    <t>Requiere verificar dependencia (asignaturas activas) antes de aplicar</t>
  </si>
  <si>
    <t>Requiere cambio de estado y validación de asignaturas activas asociadas.</t>
  </si>
  <si>
    <t>Cambio de estado que exige verificar previamente si el profesor tiene asignaturas activas asociadas.</t>
  </si>
  <si>
    <t>No es solo cambiar un campo de estado: antes hay que consultar si el profesor tiene asignaturas activas. Eso obliga a una consulta extra a otra tabla, el mensaje de error y probar los dos caminos (con y sin dependencias).</t>
  </si>
  <si>
    <t>Registrar Programas Académicos</t>
  </si>
  <si>
    <t>Create + validación doble de unicidad (nombre y código)</t>
  </si>
  <si>
    <t>Requiere formulario, validación de nombre y código únicos y registro del programa.</t>
  </si>
  <si>
    <t>Formulario simple pero con doble validación de unicidad (nombre y código) y su respectiva prueba.</t>
  </si>
  <si>
    <t>Es más sencillo que registrar profesores porque la entidad tiene menos campos, pero igual toca validar que el nombre y el código sean únicos. Cuento formulario, endpoint y las pruebas de esas dos validaciones.</t>
  </si>
  <si>
    <t xml:space="preserve">Consultar Programas Académicos
</t>
  </si>
  <si>
    <t>Listado + 3 filtros, entidad más simple</t>
  </si>
  <si>
    <t>Incluye listado y filtros por nombre, código y estado.</t>
  </si>
  <si>
    <t>Listado con filtros por nombre, código y estado sobre una entidad sencilla.</t>
  </si>
  <si>
    <t>Listado con filtros por nombre, código y estado sobre una tabla pequeña. Es prácticamente el mismo patrón del listado de profesores, así que reuso el componente y solo le cambio los campos.</t>
  </si>
  <si>
    <t>Modificar Programas Académicos</t>
  </si>
  <si>
    <t>Update de un solo campo (nombre); código bloqueado</t>
  </si>
  <si>
    <t>Solo permite actualizar el nombre y requiere validar el programa existente.</t>
  </si>
  <si>
    <t>Actualización de un solo campo (nombre); el código permanece bloqueado.</t>
  </si>
  <si>
    <t>Solo se puede editar el nombre porque el código queda bloqueado, entonces es un update de un solo campo. El tiempo se va más en dejar el campo deshabilitado en la interfaz y en probar que tampoco se pueda cambiar desde el backend.</t>
  </si>
  <si>
    <t>Inactivar Programas Académicos</t>
  </si>
  <si>
    <t>Verifica dependencia con asignaturas activas antes de inactivar</t>
  </si>
  <si>
    <t>Requiere cambio de estado y verificación de que no existan materias activas asociadas.</t>
  </si>
  <si>
    <t>Requiere validar que el programa no tenga asignaturas activas antes de aplicar la inactivación.</t>
  </si>
  <si>
    <t>Igual que inactivar profesores, hay que revisar primero que no existan asignaturas activas asociadas. Lo pongo un poco más bajo porque a esta altura ya tendría hecha esa misma lógica de validar dependencias.</t>
  </si>
  <si>
    <t>Registrar Materias</t>
  </si>
  <si>
    <t>Create con FK a programa academico + estado inicial "Borrador"</t>
  </si>
  <si>
    <t>Requiere registrar datos de la materia, asociarla a un programa y establecer su estado inicial.</t>
  </si>
  <si>
    <t>Registro con relación al programa académico, validación de código único y estado inicial.</t>
  </si>
  <si>
    <t>Además del formulario hay una llave foránea al programa académico, validar que el código no se repita y dejar la materia en estado inicial "Borrador". Son varias cosas pequeñas que juntas suman.</t>
  </si>
  <si>
    <t>Consultar Materias</t>
  </si>
  <si>
    <t>Listado + 4 filtros (programa, nombre, codigo, estado)</t>
  </si>
  <si>
    <t>Incluye listado y filtros por programa, nombre, código y estado.</t>
  </si>
  <si>
    <t>Listado con varios filtros combinados (programa, nombre, código, estado).</t>
  </si>
  <si>
    <t>Son cuatro filtros (programa, nombre, código y estado) y uno de ellos depende de otra tabla, entonces toca cargar la lista de programas en el select. Por eso me da un poco más que los otros listados.</t>
  </si>
  <si>
    <t>Modificar Materias</t>
  </si>
  <si>
    <t>Update de un solo campo (nombre); codigo y programa bloqueados</t>
  </si>
  <si>
    <t>Requiere actualizar el nombre de la materia manteniendo sus asociaciones existentes.</t>
  </si>
  <si>
    <t>Actualización únicamente del nombre; el código y el programa asociado no cambian.</t>
  </si>
  <si>
    <t>Solo cambia el nombre; el código y el programa asociado quedan bloqueados. Es el mismo caso de modificar programas, así que reuso el formulario de crear y le quito los campos que no son editables.</t>
  </si>
  <si>
    <t>Activar/Inactivar Materias</t>
  </si>
  <si>
    <t>Doble validación (5-7 RA para activar, evaluaciones abiertas para inactivar) + confirmación explicita</t>
  </si>
  <si>
    <t>Incluye validaciones diferentes para activación e inactivación, relacionadas con RA y evaluaciones abiertas.</t>
  </si>
  <si>
    <t>Dos validaciones distintas según el caso (activar exige mínimo de RA, inactivar exige que no haya evaluaciones abiertas) más la confirmación explícita.</t>
  </si>
  <si>
    <t>Es el más costoso de los CRUD porque son dos validaciones distintas según la acción: para activar hay que contar que tenga entre 5 y 7 RA, y para inactivar revisar que no haya evaluaciones abiertas. Además pide confirmación explícita del usuario, o sea otra pantalla y más casos de prueba.</t>
  </si>
  <si>
    <t>Autorizacion de Usuarios</t>
  </si>
  <si>
    <t>Login + bloqueo tras 5 intentos + temporizador de 15 min + reinicio de contador</t>
  </si>
  <si>
    <t>Requiere autenticación, validación de credenciales, control de intentos fallidos y bloqueo temporal.</t>
  </si>
  <si>
    <t>Incluye validar credenciales, controlar intentos fallidos y bloquear temporalmente la cuenta, lo que implica más lógica y pruebas que un login simple.</t>
  </si>
  <si>
    <t>No es un login simple: hay que manejar el conteo de intentos fallidos, bloquear la cuenta a los 5 intentos, un temporizador de 15 minutos y reiniciar el contador cuando entra bien. Probar el bloqueo y el desbloqueo por tiempo es lo que más tiempo consume.</t>
  </si>
  <si>
    <t>Control de Acceso Basado en Roles (RBAC)</t>
  </si>
  <si>
    <t>Transversal a todos los modulos; valida rol en cada endpoint del backend, no solo en la interfaz</t>
  </si>
  <si>
    <t>Implica definir y validar permisos según el rol tanto en la interfaz como en las solicitudes al backend.</t>
  </si>
  <si>
    <t>Es una validación que debe aplicarse en cada endpoint del backend y no solo en el frontend, por lo que probarla toma bastante tiempo aunque la lógica en sí sea corta.</t>
  </si>
  <si>
    <t>Es la funcionalidad más transversal de todas. La lógica en sí es corta, pero hay que validar el rol en cada endpoint del backend y no solo esconder botones en el frontend, entonces toca revisarlo y probarlo módulo por módulo.</t>
  </si>
  <si>
    <t>Gestión de Resultados de Aprendizaje (RA)</t>
  </si>
  <si>
    <t>Agrupa registrar/consultar/modificar/inactivar con validación de límite 5-7 por asignatura</t>
  </si>
  <si>
    <t>Incluye registro, consulta, modificación e inactivación de RA y validaciones asociadas a las materias.</t>
  </si>
  <si>
    <t>Agrupa el CRUD completo del RA y su límite de 5 a 7 por asignatura, lo que suma varias validaciones cruzadas.</t>
  </si>
  <si>
    <t>Aquí va el CRUD completo del RA (crear, consultar, modificar e inactivar) más la regla de que cada asignatura tenga entre 5 y 7. Esa regla se cruza con la activación de materias, así que hay que probar varias combinaciones.</t>
  </si>
  <si>
    <t>Asignación Docente de Asignaturas</t>
  </si>
  <si>
    <t>Asignación multiple con manejo de duplicados parciales e informe de resultado</t>
  </si>
  <si>
    <t>Requiere seleccionar docentes y asignaturas, validar permisos y controlar posibles asignaciones duplicadas.</t>
  </si>
  <si>
    <t>Permite asignar varios profesores a la vez y debe manejar los casos en que alguno ya esté asignado, informando el resultado.</t>
  </si>
  <si>
    <t>Se pueden asignar varios profesores de una vez, entonces hay que manejar el caso en que algunos ya estén asignados y otros no, y devolver un informe de qué sí quedó. Ese manejo de éxito parcial es lo que lo sube frente a una asignación simple.</t>
  </si>
  <si>
    <t>Matrícula  de Estudiantes</t>
  </si>
  <si>
    <t>Create con validación de duplicado en la asignatura</t>
  </si>
  <si>
    <t>Requiere registrar la relación entre estudiantes y las asignaturas que cursan, validando la información.</t>
  </si>
  <si>
    <t>Registro con validación de que el estudiante no esté ya matriculado en la misma asignatura.</t>
  </si>
  <si>
    <t>Es un create sencillo con una sola validación: que el estudiante no esté ya matriculado en esa asignatura. Cuento el formulario, el endpoint y las pruebas del caso duplicado.</t>
  </si>
  <si>
    <t>Desvinculación de Estudiantes</t>
  </si>
  <si>
    <t>Requiere confirmación explicita si el estudiante tiene calificaciones registradas</t>
  </si>
  <si>
    <t>Requiere retirar la relación del estudiante con la asignatura y conservar la trazabilidad correspondiente.</t>
  </si>
  <si>
    <t>Requiere confirmación explícita cuando el estudiante ya tiene calificaciones registradas para evitar pérdida de información.</t>
  </si>
  <si>
    <t>La desvinculación no es directa: si el estudiante ya tiene calificaciones registradas hay que pedir una confirmación explícita para no perder información. Toca consultar las notas antes, mostrar la advertencia y probar los dos escenarios.</t>
  </si>
  <si>
    <t>Total</t>
  </si>
  <si>
    <t>Juan Camilo/ Horas-Hombre estimadas</t>
  </si>
  <si>
    <t>Simon/ Horas-Hombre estimadas</t>
  </si>
  <si>
    <t>Jose Alejandro/ Horas-Hombre estimadas</t>
  </si>
  <si>
    <t>Registro de nuevos estudiantes por el docente</t>
  </si>
  <si>
    <t>Se debe de realizar validaciones en el backend de datos únicos y guardar registros en diferentes tablas.</t>
  </si>
  <si>
    <t>Se debe crear el formulario, revisar que la cédula no esté repetida y guardar la información en dos partes del sistema al mismo tiempo (el estudiante y su matrícula).</t>
  </si>
  <si>
    <t>Validar datos, evitar duplicados y registrar estudiante y matrícula. Se estiman 6 horas por la lógica de validación, persistencia y pruebas.</t>
  </si>
  <si>
    <t>Registro de estudiantes existentes por el docente</t>
  </si>
  <si>
    <t>Se debe de relizar una búsqueda por cédula y guardar un registro para la matricula del estudiante.</t>
  </si>
  <si>
    <t>Es más simple: solo se busca al estudiante y se le vincula a la asignatura, sin crear datos nuevos.</t>
  </si>
  <si>
    <t>Buscar por cédula, validar estado y evitar una matrícula duplicada antes de asociarlo. Las 4 horas cubren búsqueda, validaciones, integración y pruebas.</t>
  </si>
  <si>
    <t>crear actividades evaluativas por RA</t>
  </si>
  <si>
    <t>Se debe de realizar una validación del porcentaje de las axtividades para que no supere el límite antes de realizar el create.</t>
  </si>
  <si>
    <t>Se debe relacionar la actividad con el resultado de aprendizaje y la asignatura correspondiente, lo que implica revisar que todo quede bien conectado.</t>
  </si>
  <si>
    <t>Crear la actividad asociada al RA y validar datos, fechas y porcentajes. Las 6 horas cubren reglas de negocio, registro y pruebas.</t>
  </si>
  <si>
    <t>modificar actividades evaluativas por RA</t>
  </si>
  <si>
    <t>Se reutiliza el formulario de creación y se agrega la lógica para bloquear los campos que no sean modificables.</t>
  </si>
  <si>
    <t>Similar a crearla, pero además hay que revisar que el cambio no afecte calificaciones que ya existan.</t>
  </si>
  <si>
    <t>Consultar la actividad, restringir campos no editables y validar nuevamente sus datos. Las 4 horas cubren ajustes de lógica, actualización y pruebas.</t>
  </si>
  <si>
    <t>activar/inactivar actividades evaluativas por RA</t>
  </si>
  <si>
    <t>Es solo una conmutación de un estado, una acción tipo toggle, de un solo archivo y solo con unas validaciones pequeñas.</t>
  </si>
  <si>
    <t>Es solo cambiar un estado, aunque antes hay que confirmar que no tenga calificaciones asociadas.</t>
  </si>
  <si>
    <t>Cambiar el estado validando que la acción sea permitida. Las 2 horas cubren la validación, actualización y prueba del cambio.</t>
  </si>
  <si>
    <t>Definición de atributos de la evaluación</t>
  </si>
  <si>
    <t>No es un desarrollo aparte y los campos requeridos ya están en las acciones de crear y modificar</t>
  </si>
  <si>
    <t>Solo se actualizan algunos datos de la evaluación, sin afectar otras partes del sistema.</t>
  </si>
  <si>
    <t>No requiere desarrollo independiente porque los atributos ya se manejan al crear y modificar la evaluación. Por eso no se estiman horas adicionales.</t>
  </si>
  <si>
    <t>Registro de calificaciones y observaciones</t>
  </si>
  <si>
    <t>Referencia alrededor de 4 archivos distintos y tiene respponsabilidad de realizar varias validaciones</t>
  </si>
  <si>
    <t>Hay que guardar la nota y la observación, revisando que el estudiante y la actividad existan y estén bien relacionados.</t>
  </si>
  <si>
    <t>Validar estudiante, actividad, nota y condiciones de registro antes de guardar calificación y observación. Las 6 horas cubren validaciones, persistencia y pruebas.</t>
  </si>
  <si>
    <t>Control de trazabilidad en fechas de registro</t>
  </si>
  <si>
    <t>Es lógica usada sobre ítems ya tenidos en cuenta anteriormente con solo algunas comparaciones y filtros.</t>
  </si>
  <si>
    <t xml:space="preserve">El sistema guarda la fecha automáticamente, sin necesidad de una pantalla para el usuario. </t>
  </si>
  <si>
    <t>Controlar y conservar fechas correctamente en varios procesos. Las 3 horas se justifican porque es una lógica transversal que requiere integración y pruebas en distintos flujos.</t>
  </si>
  <si>
    <t>Cálculo y clasificación del nivel de logro</t>
  </si>
  <si>
    <t>Se realizan cálculos de forma automática con reglas previamente definidas y no hay que recibir formularios de entrada sino que es sólo la lógia aplicada y la validación</t>
  </si>
  <si>
    <t>El sistema debe calcular el nivel de logro del estudiante y ubicarlo en una categoría, usando información de dos partes distintas.</t>
  </si>
  <si>
    <t>Calcular el resultado y clasificarlo según las reglas de nivel de logro. Las 5 horas cubren cálculos, casos límite, validaciones y pruebas.</t>
  </si>
  <si>
    <t>Generación de estadísticas descriptivas</t>
  </si>
  <si>
    <t>Es un reporte un poco más costoso por todos los cálculos y validaciones que se deben de realizar para consultar los archivos necesarios y generar las respectivas estadísticas.</t>
  </si>
  <si>
    <t>Se deben calcular varios valores (promedio, distribución, etc.) sobre un grupo de estudiantes, lo cual toma más tiempo de desarrollo y pruebas.</t>
  </si>
  <si>
    <t>Consolidar datos y calcular las estadísticas necesarias para el reporte. Las 6 horas cubren consultas, cálculos, validación de resultados y preparación de la información.</t>
  </si>
  <si>
    <t>Generación de conclusiones y sugerencias de mejora</t>
  </si>
  <si>
    <t>Tiene dependencia de las estadísticas generadas, los niveles de logro y las observaciones registradas... Tiene diferentes validaciones y se debe de realizar una buena lógica de negocio.</t>
  </si>
  <si>
    <t>El sistema tiene que redactar automáticamente un texto según los resultados obtenidos, lo que requiere más reglas y más pruebas.</t>
  </si>
  <si>
    <t>Usar estadísticas, niveles de logro y observaciones para generar conclusiones y sugerencias. Las 7 horas cubren integración de datos, reglas y pruebas de escenarios.</t>
  </si>
  <si>
    <t>Registro de acciones de mejora</t>
  </si>
  <si>
    <t>Se deben de realizar algunas validaciones para poder registrar la acción de mejora.</t>
  </si>
  <si>
    <t>Se debe validar que los porcentajes no superen el 100% y que la acción quede bien relacionada con su resultado de aprendizaje.</t>
  </si>
  <si>
    <t>Registrar la acción de mejora con sus relaciones y campos requeridos. Las 5 horas cubren validaciones, lógica de registro, persistencia y pruebas.</t>
  </si>
  <si>
    <t>Conversión de acciones de mejora en evaluaciones</t>
  </si>
  <si>
    <t>Tiene que heredar datos de otros lugares y otros archivos, además de reutilizar validaciones y manejar bien la lógica de negocio.</t>
  </si>
  <si>
    <t>Se toma la información de una acción ya registrada y se usa para crear una nueva evaluación, revisando que los datos pasen correctamente.</t>
  </si>
  <si>
    <t>Transformar una acción de mejora en evaluación, heredando datos y evitando duplicados. Las 5 horas cubren mapeo, validaciones, registro y pruebas.</t>
  </si>
  <si>
    <t>Conservación del historial y auditoría</t>
  </si>
  <si>
    <t>Toca varios módulos del sistema para poder registrar sus acciones haciéndo de este un proceso crítico.</t>
  </si>
  <si>
    <t>Aunque es automático, guarda tres tipos de información distinta (calificaciones, actividades y acciones de mejora), lo que le suma algo de trabajo.</t>
  </si>
  <si>
    <t>Registrar quién realizó la acción, qué cambió y cuándo en distintos módulos. Las 7 horas cubren integración transversal, almacenamiento y validación de eventos.</t>
  </si>
  <si>
    <t>Módulo de consulta para Profesores</t>
  </si>
  <si>
    <t>Tiene que consultar varios archivos para poder generar la vista.</t>
  </si>
  <si>
    <t>El profesor puede buscar por varios filtros distintos y la información sale de tres partes del sistema, por lo que hay que probar bien los casos.</t>
  </si>
  <si>
    <t>Consultar y organizar la información requerida por el profesor mediante filtros. Las 4 horas cubren consultas, integración de datos y pruebas del módulo.</t>
  </si>
  <si>
    <t>Reporte de RA por asignatura</t>
  </si>
  <si>
    <t>El costo es similar al reporte de estdísticas descriptivas utilizando archivos de RA y filtrando por programas y asignaturas.</t>
  </si>
  <si>
    <t>Se agrupan las calificaciones para mostrar el resultado por cada RA de una asignatura.</t>
  </si>
  <si>
    <t>Consolidar los RA y resultados por asignatura para generar el reporte. Las 5 horas cubren consultas, filtros, procesamiento y validación de la información.</t>
  </si>
  <si>
    <t>Reporte de niveles de logro agregados por programa</t>
  </si>
  <si>
    <t>Misma conclusión que el reporte anterior, más el esfuerzo extra del gráfico de barras apiladas</t>
  </si>
  <si>
    <t>Se junta información de varias asignaturas de un programa completo, lo que implica manejar más datos y cálculos.</t>
  </si>
  <si>
    <t>Agrupar resultados por programa, calcular niveles de logro y preparar el gráfico. Las 7 horas cubren agregaciones, validaciones y visualización.</t>
  </si>
  <si>
    <t>Historial de auditoría completo</t>
  </si>
  <si>
    <t xml:space="preserve">        Solo lectura sobre un archivo ya existente, pero con 4 filtros que exigen más trabajo de frontend</t>
  </si>
  <si>
    <t>Es una consulta simple sobre la información ya guardada de auditoría, sin cálculos adicionales.</t>
  </si>
  <si>
    <t>Consultar el historial con filtros, orden y detalle para rastrear acciones. Las 5 horas cubren consultas, manejo de datos y pruebas de los filtros.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</si>
</sst>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FFFFFF"/>
      <name val="Calibri"/>
    </font>
    <font>
      <color theme="1"/>
      <name val="Arial"/>
      <scheme val="minor"/>
    </font>
    <font>
      <sz val="11.0"/>
      <color theme="1"/>
      <name val="Calibri"/>
    </font>
    <font>
      <color theme="1"/>
      <name val="Arial"/>
    </font>
    <font>
      <b/>
      <sz val="11.0"/>
      <color theme="1"/>
      <name val="Calibri"/>
    </font>
    <font>
      <color rgb="FF434343"/>
      <name val="Roboto"/>
    </font>
    <font>
      <color rgb="FF000000"/>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6">
    <border/>
    <border>
      <left style="thin">
        <color rgb="FF000000"/>
      </left>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FFFFFF"/>
      </left>
      <right style="thin">
        <color rgb="FFFFFFFF"/>
      </right>
      <top style="thin">
        <color rgb="FFFFFFFF"/>
      </top>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2" fillId="0" fontId="2"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0" numFmtId="0" xfId="0" applyAlignment="1" applyBorder="1" applyFont="1">
      <alignment horizontal="center" readingOrder="0" vertical="center"/>
    </xf>
    <xf borderId="1" fillId="0" fontId="0" numFmtId="0" xfId="0" applyAlignment="1" applyBorder="1" applyFont="1">
      <alignment horizontal="center" readingOrder="0" shrinkToFit="0" vertical="center" wrapText="1"/>
    </xf>
    <xf borderId="1" fillId="3" fontId="4" numFmtId="0" xfId="0" applyAlignment="1" applyBorder="1" applyFill="1" applyFont="1">
      <alignment horizontal="center" readingOrder="0" shrinkToFit="0" vertical="center" wrapText="1"/>
    </xf>
    <xf borderId="1" fillId="0" fontId="2" numFmtId="0" xfId="0" applyAlignment="1" applyBorder="1" applyFont="1">
      <alignment horizontal="center" shrinkToFit="0" vertical="center" wrapText="1"/>
    </xf>
    <xf borderId="0" fillId="0" fontId="2" numFmtId="0" xfId="0" applyAlignment="1" applyFont="1">
      <alignment horizontal="center" readingOrder="0" shrinkToFit="0" vertical="center" wrapText="1"/>
    </xf>
    <xf borderId="1" fillId="4" fontId="4" numFmtId="0" xfId="0" applyAlignment="1" applyBorder="1" applyFill="1" applyFont="1">
      <alignment horizontal="center"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3" fontId="6" numFmtId="0" xfId="0" applyAlignment="1" applyBorder="1" applyFill="1" applyFont="1">
      <alignment horizontal="center" shrinkToFit="0" vertical="center" wrapText="1"/>
    </xf>
    <xf borderId="4" fillId="0"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2" fillId="3" fontId="2" numFmtId="0" xfId="0" applyAlignment="1" applyBorder="1" applyFill="1" applyFont="1">
      <alignment horizontal="center" readingOrder="0" shrinkToFit="0" vertical="center" wrapText="1"/>
    </xf>
    <xf borderId="1" fillId="0" fontId="7" numFmtId="0" xfId="0" applyAlignment="1" applyBorder="1" applyFont="1">
      <alignment horizontal="center" readingOrder="0" shrinkToFit="0" vertical="center" wrapText="1"/>
    </xf>
    <xf borderId="2" fillId="3" fontId="2"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88"/>
    <col customWidth="1" min="2" max="2" width="38.0"/>
    <col customWidth="1" min="3" max="3" width="25.25"/>
    <col customWidth="1" min="4" max="4" width="24.5"/>
    <col customWidth="1" min="5" max="5" width="25.38"/>
    <col customWidth="1" min="6" max="6" width="25.25"/>
    <col customWidth="1" min="7" max="7" width="25.75"/>
    <col customWidth="1" min="8" max="8" width="29.0"/>
    <col customWidth="1" min="9" max="10" width="25.88"/>
    <col customWidth="1" min="11" max="11" width="18.88"/>
  </cols>
  <sheetData>
    <row r="1">
      <c r="A1" s="1" t="s">
        <v>0</v>
      </c>
      <c r="B1" s="1" t="s">
        <v>1</v>
      </c>
      <c r="C1" s="2" t="s">
        <v>2</v>
      </c>
      <c r="D1" s="2" t="s">
        <v>3</v>
      </c>
      <c r="E1" s="1" t="s">
        <v>4</v>
      </c>
      <c r="F1" s="1" t="s">
        <v>3</v>
      </c>
      <c r="G1" s="1" t="s">
        <v>5</v>
      </c>
      <c r="H1" s="1" t="s">
        <v>3</v>
      </c>
      <c r="I1" s="1" t="s">
        <v>6</v>
      </c>
      <c r="J1" s="1" t="s">
        <v>3</v>
      </c>
      <c r="K1" s="2" t="s">
        <v>7</v>
      </c>
      <c r="L1" s="3"/>
      <c r="M1" s="4"/>
      <c r="N1" s="4"/>
      <c r="O1" s="4"/>
      <c r="P1" s="4"/>
      <c r="Q1" s="4"/>
      <c r="R1" s="4"/>
      <c r="S1" s="4"/>
      <c r="T1" s="4"/>
      <c r="U1" s="4"/>
      <c r="V1" s="4"/>
      <c r="W1" s="4"/>
      <c r="X1" s="4"/>
      <c r="Y1" s="4"/>
      <c r="Z1" s="4"/>
      <c r="AA1" s="4"/>
      <c r="AB1" s="4"/>
    </row>
    <row r="2">
      <c r="A2" s="5">
        <v>1.0</v>
      </c>
      <c r="B2" s="6" t="s">
        <v>8</v>
      </c>
      <c r="C2" s="7">
        <v>4.0</v>
      </c>
      <c r="D2" s="7" t="s">
        <v>9</v>
      </c>
      <c r="E2" s="7">
        <v>5.0</v>
      </c>
      <c r="F2" s="7" t="s">
        <v>10</v>
      </c>
      <c r="G2" s="8">
        <v>4.5</v>
      </c>
      <c r="H2" s="9" t="s">
        <v>11</v>
      </c>
      <c r="I2" s="10">
        <v>4.5</v>
      </c>
      <c r="J2" s="10" t="s">
        <v>12</v>
      </c>
      <c r="K2" s="11">
        <f t="shared" ref="K2:K20" si="1">(C2+E2+G2+I2)/4</f>
        <v>4.5</v>
      </c>
      <c r="L2" s="3"/>
      <c r="M2" s="4"/>
      <c r="N2" s="4"/>
      <c r="O2" s="4"/>
      <c r="P2" s="4"/>
      <c r="Q2" s="4"/>
      <c r="R2" s="4"/>
      <c r="S2" s="4"/>
      <c r="T2" s="4"/>
      <c r="U2" s="4"/>
      <c r="V2" s="4"/>
      <c r="W2" s="4"/>
      <c r="X2" s="4"/>
      <c r="Y2" s="4"/>
      <c r="Z2" s="4"/>
      <c r="AA2" s="4"/>
      <c r="AB2" s="4"/>
    </row>
    <row r="3">
      <c r="A3" s="5">
        <v>2.0</v>
      </c>
      <c r="B3" s="6" t="s">
        <v>13</v>
      </c>
      <c r="C3" s="7">
        <v>3.0</v>
      </c>
      <c r="D3" s="7" t="s">
        <v>14</v>
      </c>
      <c r="E3" s="7">
        <v>2.5</v>
      </c>
      <c r="F3" s="12" t="s">
        <v>15</v>
      </c>
      <c r="G3" s="8">
        <v>2.5</v>
      </c>
      <c r="H3" s="9" t="s">
        <v>16</v>
      </c>
      <c r="I3" s="13">
        <v>3.0</v>
      </c>
      <c r="J3" s="13" t="s">
        <v>17</v>
      </c>
      <c r="K3" s="11">
        <f t="shared" si="1"/>
        <v>2.75</v>
      </c>
      <c r="L3" s="3"/>
      <c r="M3" s="4"/>
      <c r="N3" s="4"/>
      <c r="O3" s="4"/>
      <c r="P3" s="4"/>
      <c r="Q3" s="4"/>
      <c r="R3" s="4"/>
      <c r="S3" s="4"/>
      <c r="T3" s="4"/>
      <c r="U3" s="4"/>
      <c r="V3" s="4"/>
      <c r="W3" s="4"/>
      <c r="X3" s="4"/>
      <c r="Y3" s="4"/>
      <c r="Z3" s="4"/>
      <c r="AA3" s="4"/>
      <c r="AB3" s="4"/>
    </row>
    <row r="4">
      <c r="A4" s="5">
        <v>3.0</v>
      </c>
      <c r="B4" s="6" t="s">
        <v>18</v>
      </c>
      <c r="C4" s="7">
        <v>3.0</v>
      </c>
      <c r="D4" s="7" t="s">
        <v>19</v>
      </c>
      <c r="E4" s="7">
        <v>2.0</v>
      </c>
      <c r="F4" s="7" t="s">
        <v>20</v>
      </c>
      <c r="G4" s="8">
        <v>3.0</v>
      </c>
      <c r="H4" s="9" t="s">
        <v>21</v>
      </c>
      <c r="I4" s="10">
        <v>2.5</v>
      </c>
      <c r="J4" s="10" t="s">
        <v>22</v>
      </c>
      <c r="K4" s="11">
        <f t="shared" si="1"/>
        <v>2.625</v>
      </c>
      <c r="L4" s="3"/>
      <c r="M4" s="4"/>
      <c r="N4" s="4"/>
      <c r="O4" s="4"/>
      <c r="P4" s="4"/>
      <c r="Q4" s="4"/>
      <c r="R4" s="4"/>
      <c r="S4" s="4"/>
      <c r="T4" s="4"/>
      <c r="U4" s="4"/>
      <c r="V4" s="4"/>
      <c r="W4" s="4"/>
      <c r="X4" s="4"/>
      <c r="Y4" s="4"/>
      <c r="Z4" s="4"/>
      <c r="AA4" s="4"/>
      <c r="AB4" s="4"/>
    </row>
    <row r="5">
      <c r="A5" s="5">
        <v>4.0</v>
      </c>
      <c r="B5" s="6" t="s">
        <v>23</v>
      </c>
      <c r="C5" s="7">
        <v>4.0</v>
      </c>
      <c r="D5" s="7" t="s">
        <v>24</v>
      </c>
      <c r="E5" s="7">
        <v>4.0</v>
      </c>
      <c r="F5" s="7" t="s">
        <v>25</v>
      </c>
      <c r="G5" s="8">
        <v>4.5</v>
      </c>
      <c r="H5" s="9" t="s">
        <v>26</v>
      </c>
      <c r="I5" s="13">
        <v>4.0</v>
      </c>
      <c r="J5" s="13" t="s">
        <v>27</v>
      </c>
      <c r="K5" s="11">
        <f t="shared" si="1"/>
        <v>4.125</v>
      </c>
      <c r="L5" s="3"/>
      <c r="M5" s="4"/>
      <c r="N5" s="4"/>
      <c r="O5" s="4"/>
      <c r="P5" s="4"/>
      <c r="Q5" s="4"/>
      <c r="R5" s="4"/>
      <c r="S5" s="4"/>
      <c r="T5" s="4"/>
      <c r="U5" s="4"/>
      <c r="V5" s="4"/>
      <c r="W5" s="4"/>
      <c r="X5" s="4"/>
      <c r="Y5" s="4"/>
      <c r="Z5" s="4"/>
      <c r="AA5" s="4"/>
      <c r="AB5" s="4"/>
    </row>
    <row r="6">
      <c r="A6" s="5">
        <v>5.0</v>
      </c>
      <c r="B6" s="6" t="s">
        <v>28</v>
      </c>
      <c r="C6" s="7">
        <v>3.5</v>
      </c>
      <c r="D6" s="7" t="s">
        <v>29</v>
      </c>
      <c r="E6" s="7">
        <v>3.0</v>
      </c>
      <c r="F6" s="7" t="s">
        <v>30</v>
      </c>
      <c r="G6" s="8">
        <v>3.5</v>
      </c>
      <c r="H6" s="9" t="s">
        <v>31</v>
      </c>
      <c r="I6" s="10">
        <v>3.0</v>
      </c>
      <c r="J6" s="10" t="s">
        <v>32</v>
      </c>
      <c r="K6" s="11">
        <f t="shared" si="1"/>
        <v>3.25</v>
      </c>
      <c r="L6" s="3"/>
      <c r="M6" s="4"/>
      <c r="N6" s="4"/>
      <c r="O6" s="4"/>
      <c r="P6" s="4"/>
      <c r="Q6" s="4"/>
      <c r="R6" s="4"/>
      <c r="S6" s="4"/>
      <c r="T6" s="4"/>
      <c r="U6" s="4"/>
      <c r="V6" s="4"/>
      <c r="W6" s="4"/>
      <c r="X6" s="4"/>
      <c r="Y6" s="4"/>
      <c r="Z6" s="4"/>
      <c r="AA6" s="4"/>
      <c r="AB6" s="4"/>
    </row>
    <row r="7">
      <c r="A7" s="5">
        <v>6.0</v>
      </c>
      <c r="B7" s="6" t="s">
        <v>33</v>
      </c>
      <c r="C7" s="7">
        <v>2.5</v>
      </c>
      <c r="D7" s="7" t="s">
        <v>34</v>
      </c>
      <c r="E7" s="7">
        <v>2.0</v>
      </c>
      <c r="F7" s="7" t="s">
        <v>35</v>
      </c>
      <c r="G7" s="8">
        <v>2.0</v>
      </c>
      <c r="H7" s="9" t="s">
        <v>36</v>
      </c>
      <c r="I7" s="13">
        <v>2.0</v>
      </c>
      <c r="J7" s="13" t="s">
        <v>37</v>
      </c>
      <c r="K7" s="11">
        <f t="shared" si="1"/>
        <v>2.125</v>
      </c>
      <c r="L7" s="3"/>
      <c r="M7" s="4"/>
      <c r="N7" s="4"/>
      <c r="O7" s="4"/>
      <c r="P7" s="4"/>
      <c r="Q7" s="4"/>
      <c r="R7" s="4"/>
      <c r="S7" s="4"/>
      <c r="T7" s="4"/>
      <c r="U7" s="4"/>
      <c r="V7" s="4"/>
      <c r="W7" s="4"/>
      <c r="X7" s="4"/>
      <c r="Y7" s="4"/>
      <c r="Z7" s="4"/>
      <c r="AA7" s="4"/>
      <c r="AB7" s="4"/>
    </row>
    <row r="8">
      <c r="A8" s="5">
        <v>7.0</v>
      </c>
      <c r="B8" s="6" t="s">
        <v>38</v>
      </c>
      <c r="C8" s="7">
        <v>2.5</v>
      </c>
      <c r="D8" s="7" t="s">
        <v>39</v>
      </c>
      <c r="E8" s="7">
        <v>2.0</v>
      </c>
      <c r="F8" s="7" t="s">
        <v>40</v>
      </c>
      <c r="G8" s="8">
        <v>2.0</v>
      </c>
      <c r="H8" s="9" t="s">
        <v>41</v>
      </c>
      <c r="I8" s="10">
        <v>2.0</v>
      </c>
      <c r="J8" s="10" t="s">
        <v>42</v>
      </c>
      <c r="K8" s="11">
        <f t="shared" si="1"/>
        <v>2.125</v>
      </c>
      <c r="L8" s="3"/>
      <c r="M8" s="4"/>
      <c r="N8" s="4"/>
      <c r="O8" s="4"/>
      <c r="P8" s="4"/>
      <c r="Q8" s="4"/>
      <c r="R8" s="4"/>
      <c r="S8" s="4"/>
      <c r="T8" s="4"/>
      <c r="U8" s="4"/>
      <c r="V8" s="4"/>
      <c r="W8" s="4"/>
      <c r="X8" s="4"/>
      <c r="Y8" s="4"/>
      <c r="Z8" s="4"/>
      <c r="AA8" s="4"/>
      <c r="AB8" s="4"/>
    </row>
    <row r="9">
      <c r="A9" s="5">
        <v>8.0</v>
      </c>
      <c r="B9" s="6" t="s">
        <v>43</v>
      </c>
      <c r="C9" s="7">
        <v>3.5</v>
      </c>
      <c r="D9" s="7" t="s">
        <v>44</v>
      </c>
      <c r="E9" s="7">
        <v>4.0</v>
      </c>
      <c r="F9" s="7" t="s">
        <v>45</v>
      </c>
      <c r="G9" s="8">
        <v>4.0</v>
      </c>
      <c r="H9" s="9" t="s">
        <v>46</v>
      </c>
      <c r="I9" s="13">
        <v>3.5</v>
      </c>
      <c r="J9" s="13" t="s">
        <v>47</v>
      </c>
      <c r="K9" s="11">
        <f t="shared" si="1"/>
        <v>3.75</v>
      </c>
      <c r="L9" s="3"/>
      <c r="M9" s="4"/>
      <c r="N9" s="4"/>
      <c r="O9" s="4"/>
      <c r="P9" s="4"/>
      <c r="Q9" s="4"/>
      <c r="R9" s="4"/>
      <c r="S9" s="4"/>
      <c r="T9" s="4"/>
      <c r="U9" s="4"/>
      <c r="V9" s="4"/>
      <c r="W9" s="4"/>
      <c r="X9" s="4"/>
      <c r="Y9" s="4"/>
      <c r="Z9" s="4"/>
      <c r="AA9" s="4"/>
      <c r="AB9" s="4"/>
    </row>
    <row r="10">
      <c r="A10" s="5">
        <v>9.0</v>
      </c>
      <c r="B10" s="6" t="s">
        <v>48</v>
      </c>
      <c r="C10" s="7">
        <v>4.0</v>
      </c>
      <c r="D10" s="7" t="s">
        <v>49</v>
      </c>
      <c r="E10" s="7">
        <v>4.0</v>
      </c>
      <c r="F10" s="7" t="s">
        <v>50</v>
      </c>
      <c r="G10" s="8">
        <v>4.5</v>
      </c>
      <c r="H10" s="9" t="s">
        <v>51</v>
      </c>
      <c r="I10" s="10">
        <v>4.0</v>
      </c>
      <c r="J10" s="10" t="s">
        <v>52</v>
      </c>
      <c r="K10" s="11">
        <f t="shared" si="1"/>
        <v>4.125</v>
      </c>
      <c r="L10" s="3"/>
      <c r="M10" s="4"/>
      <c r="N10" s="4"/>
      <c r="O10" s="4"/>
      <c r="P10" s="4"/>
      <c r="Q10" s="4"/>
      <c r="R10" s="4"/>
      <c r="S10" s="4"/>
      <c r="T10" s="4"/>
      <c r="U10" s="4"/>
      <c r="V10" s="4"/>
      <c r="W10" s="4"/>
      <c r="X10" s="4"/>
      <c r="Y10" s="4"/>
      <c r="Z10" s="4"/>
      <c r="AA10" s="4"/>
      <c r="AB10" s="4"/>
    </row>
    <row r="11">
      <c r="A11" s="5">
        <v>10.0</v>
      </c>
      <c r="B11" s="6" t="s">
        <v>53</v>
      </c>
      <c r="C11" s="7">
        <v>3.0</v>
      </c>
      <c r="D11" s="7" t="s">
        <v>54</v>
      </c>
      <c r="E11" s="7">
        <v>3.5</v>
      </c>
      <c r="F11" s="7" t="s">
        <v>55</v>
      </c>
      <c r="G11" s="8">
        <v>3.5</v>
      </c>
      <c r="H11" s="9" t="s">
        <v>56</v>
      </c>
      <c r="I11" s="13">
        <v>3.0</v>
      </c>
      <c r="J11" s="13" t="s">
        <v>57</v>
      </c>
      <c r="K11" s="11">
        <f t="shared" si="1"/>
        <v>3.25</v>
      </c>
      <c r="L11" s="3"/>
      <c r="M11" s="4"/>
      <c r="N11" s="4"/>
      <c r="O11" s="4"/>
      <c r="P11" s="4"/>
      <c r="Q11" s="4"/>
      <c r="R11" s="4"/>
      <c r="S11" s="4"/>
      <c r="T11" s="4"/>
      <c r="U11" s="4"/>
      <c r="V11" s="4"/>
      <c r="W11" s="4"/>
      <c r="X11" s="4"/>
      <c r="Y11" s="4"/>
      <c r="Z11" s="4"/>
      <c r="AA11" s="4"/>
      <c r="AB11" s="4"/>
    </row>
    <row r="12">
      <c r="A12" s="5">
        <v>11.0</v>
      </c>
      <c r="B12" s="6" t="s">
        <v>58</v>
      </c>
      <c r="C12" s="7">
        <v>2.5</v>
      </c>
      <c r="D12" s="7" t="s">
        <v>59</v>
      </c>
      <c r="E12" s="7">
        <v>2.0</v>
      </c>
      <c r="F12" s="7" t="s">
        <v>60</v>
      </c>
      <c r="G12" s="8">
        <v>2.0</v>
      </c>
      <c r="H12" s="9" t="s">
        <v>61</v>
      </c>
      <c r="I12" s="10">
        <v>2.0</v>
      </c>
      <c r="J12" s="10" t="s">
        <v>62</v>
      </c>
      <c r="K12" s="11">
        <f t="shared" si="1"/>
        <v>2.125</v>
      </c>
      <c r="L12" s="3"/>
      <c r="M12" s="4"/>
      <c r="N12" s="4"/>
      <c r="O12" s="4"/>
      <c r="P12" s="4"/>
      <c r="Q12" s="4"/>
      <c r="R12" s="4"/>
      <c r="S12" s="4"/>
      <c r="T12" s="4"/>
      <c r="U12" s="4"/>
      <c r="V12" s="4"/>
      <c r="W12" s="4"/>
      <c r="X12" s="4"/>
      <c r="Y12" s="4"/>
      <c r="Z12" s="4"/>
      <c r="AA12" s="4"/>
      <c r="AB12" s="4"/>
    </row>
    <row r="13">
      <c r="A13" s="5">
        <v>12.0</v>
      </c>
      <c r="B13" s="6" t="s">
        <v>63</v>
      </c>
      <c r="C13" s="7">
        <v>5.0</v>
      </c>
      <c r="D13" s="7" t="s">
        <v>64</v>
      </c>
      <c r="E13" s="7">
        <v>5.5</v>
      </c>
      <c r="F13" s="7" t="s">
        <v>65</v>
      </c>
      <c r="G13" s="8">
        <v>5.5</v>
      </c>
      <c r="H13" s="9" t="s">
        <v>66</v>
      </c>
      <c r="I13" s="13">
        <v>5.5</v>
      </c>
      <c r="J13" s="13" t="s">
        <v>67</v>
      </c>
      <c r="K13" s="11">
        <f t="shared" si="1"/>
        <v>5.375</v>
      </c>
      <c r="L13" s="3"/>
      <c r="M13" s="4"/>
      <c r="N13" s="4"/>
      <c r="O13" s="4"/>
      <c r="P13" s="4"/>
      <c r="Q13" s="4"/>
      <c r="R13" s="4"/>
      <c r="S13" s="4"/>
      <c r="T13" s="4"/>
      <c r="U13" s="4"/>
      <c r="V13" s="4"/>
      <c r="W13" s="4"/>
      <c r="X13" s="4"/>
      <c r="Y13" s="4"/>
      <c r="Z13" s="4"/>
      <c r="AA13" s="4"/>
      <c r="AB13" s="4"/>
    </row>
    <row r="14">
      <c r="A14" s="5">
        <v>13.0</v>
      </c>
      <c r="B14" s="6" t="s">
        <v>68</v>
      </c>
      <c r="C14" s="7">
        <v>6.0</v>
      </c>
      <c r="D14" s="7" t="s">
        <v>69</v>
      </c>
      <c r="E14" s="7">
        <v>7.0</v>
      </c>
      <c r="F14" s="7" t="s">
        <v>70</v>
      </c>
      <c r="G14" s="8">
        <v>6.5</v>
      </c>
      <c r="H14" s="9" t="s">
        <v>71</v>
      </c>
      <c r="I14" s="10">
        <v>6.5</v>
      </c>
      <c r="J14" s="10" t="s">
        <v>72</v>
      </c>
      <c r="K14" s="11">
        <f t="shared" si="1"/>
        <v>6.5</v>
      </c>
      <c r="L14" s="3"/>
      <c r="M14" s="4"/>
      <c r="N14" s="4"/>
      <c r="O14" s="4"/>
      <c r="P14" s="4"/>
      <c r="Q14" s="4"/>
      <c r="R14" s="4"/>
      <c r="S14" s="4"/>
      <c r="T14" s="4"/>
      <c r="U14" s="4"/>
      <c r="V14" s="4"/>
      <c r="W14" s="4"/>
      <c r="X14" s="4"/>
      <c r="Y14" s="4"/>
      <c r="Z14" s="4"/>
      <c r="AA14" s="4"/>
      <c r="AB14" s="4"/>
    </row>
    <row r="15">
      <c r="A15" s="5">
        <v>14.0</v>
      </c>
      <c r="B15" s="6" t="s">
        <v>73</v>
      </c>
      <c r="C15" s="7">
        <v>8.0</v>
      </c>
      <c r="D15" s="7" t="s">
        <v>74</v>
      </c>
      <c r="E15" s="7">
        <v>7.0</v>
      </c>
      <c r="F15" s="7" t="s">
        <v>75</v>
      </c>
      <c r="G15" s="8">
        <v>7.5</v>
      </c>
      <c r="H15" s="9" t="s">
        <v>76</v>
      </c>
      <c r="I15" s="13">
        <v>7.5</v>
      </c>
      <c r="J15" s="13" t="s">
        <v>77</v>
      </c>
      <c r="K15" s="11">
        <f t="shared" si="1"/>
        <v>7.5</v>
      </c>
      <c r="L15" s="3"/>
      <c r="M15" s="4"/>
      <c r="N15" s="4"/>
      <c r="O15" s="4"/>
      <c r="P15" s="4"/>
      <c r="Q15" s="4"/>
      <c r="R15" s="4"/>
      <c r="S15" s="4"/>
      <c r="T15" s="4"/>
      <c r="U15" s="4"/>
      <c r="V15" s="4"/>
      <c r="W15" s="4"/>
      <c r="X15" s="4"/>
      <c r="Y15" s="4"/>
      <c r="Z15" s="4"/>
      <c r="AA15" s="4"/>
      <c r="AB15" s="4"/>
    </row>
    <row r="16">
      <c r="A16" s="5">
        <v>15.0</v>
      </c>
      <c r="B16" s="14" t="s">
        <v>78</v>
      </c>
      <c r="C16" s="7">
        <v>6.0</v>
      </c>
      <c r="D16" s="7" t="s">
        <v>79</v>
      </c>
      <c r="E16" s="7">
        <v>7.0</v>
      </c>
      <c r="F16" s="7" t="s">
        <v>80</v>
      </c>
      <c r="G16" s="8">
        <v>6.5</v>
      </c>
      <c r="H16" s="9" t="s">
        <v>81</v>
      </c>
      <c r="I16" s="10">
        <v>6.5</v>
      </c>
      <c r="J16" s="10" t="s">
        <v>82</v>
      </c>
      <c r="K16" s="11">
        <f t="shared" si="1"/>
        <v>6.5</v>
      </c>
      <c r="L16" s="3"/>
      <c r="M16" s="4"/>
      <c r="N16" s="4"/>
      <c r="O16" s="4"/>
      <c r="P16" s="4"/>
      <c r="Q16" s="4"/>
      <c r="R16" s="4"/>
      <c r="S16" s="4"/>
      <c r="T16" s="4"/>
      <c r="U16" s="4"/>
      <c r="V16" s="4"/>
      <c r="W16" s="4"/>
      <c r="X16" s="4"/>
      <c r="Y16" s="4"/>
      <c r="Z16" s="4"/>
      <c r="AA16" s="4"/>
      <c r="AB16" s="4"/>
    </row>
    <row r="17">
      <c r="A17" s="5">
        <v>16.0</v>
      </c>
      <c r="B17" s="6" t="s">
        <v>83</v>
      </c>
      <c r="C17" s="7">
        <v>4.0</v>
      </c>
      <c r="D17" s="7" t="s">
        <v>84</v>
      </c>
      <c r="E17" s="7">
        <v>5.0</v>
      </c>
      <c r="F17" s="7" t="s">
        <v>85</v>
      </c>
      <c r="G17" s="8">
        <v>4.5</v>
      </c>
      <c r="H17" s="9" t="s">
        <v>86</v>
      </c>
      <c r="I17" s="13">
        <v>4.5</v>
      </c>
      <c r="J17" s="13" t="s">
        <v>87</v>
      </c>
      <c r="K17" s="11">
        <f t="shared" si="1"/>
        <v>4.5</v>
      </c>
      <c r="L17" s="3"/>
      <c r="M17" s="4"/>
      <c r="N17" s="4"/>
      <c r="O17" s="4"/>
      <c r="P17" s="4"/>
      <c r="Q17" s="4"/>
      <c r="R17" s="4"/>
      <c r="S17" s="4"/>
      <c r="T17" s="4"/>
      <c r="U17" s="4"/>
      <c r="V17" s="4"/>
      <c r="W17" s="4"/>
      <c r="X17" s="4"/>
      <c r="Y17" s="4"/>
      <c r="Z17" s="4"/>
      <c r="AA17" s="4"/>
      <c r="AB17" s="4"/>
    </row>
    <row r="18">
      <c r="A18" s="5">
        <v>17.0</v>
      </c>
      <c r="B18" s="6" t="s">
        <v>88</v>
      </c>
      <c r="C18" s="7">
        <v>3.0</v>
      </c>
      <c r="D18" s="7" t="s">
        <v>89</v>
      </c>
      <c r="E18" s="7">
        <v>3.0</v>
      </c>
      <c r="F18" s="7" t="s">
        <v>90</v>
      </c>
      <c r="G18" s="8">
        <v>3.0</v>
      </c>
      <c r="H18" s="9" t="s">
        <v>91</v>
      </c>
      <c r="I18" s="10">
        <v>3.0</v>
      </c>
      <c r="J18" s="10" t="s">
        <v>92</v>
      </c>
      <c r="K18" s="11">
        <f t="shared" si="1"/>
        <v>3</v>
      </c>
      <c r="L18" s="3"/>
      <c r="M18" s="4"/>
      <c r="N18" s="4"/>
      <c r="O18" s="4"/>
      <c r="P18" s="4"/>
      <c r="Q18" s="4"/>
      <c r="R18" s="4"/>
      <c r="S18" s="4"/>
      <c r="T18" s="4"/>
      <c r="U18" s="4"/>
      <c r="V18" s="4"/>
      <c r="W18" s="4"/>
      <c r="X18" s="4"/>
      <c r="Y18" s="4"/>
      <c r="Z18" s="4"/>
      <c r="AA18" s="4"/>
      <c r="AB18" s="4"/>
    </row>
    <row r="19">
      <c r="A19" s="5">
        <v>18.0</v>
      </c>
      <c r="B19" s="6" t="s">
        <v>93</v>
      </c>
      <c r="C19" s="7">
        <v>3.5</v>
      </c>
      <c r="D19" s="7" t="s">
        <v>94</v>
      </c>
      <c r="E19" s="7">
        <v>3.0</v>
      </c>
      <c r="F19" s="7" t="s">
        <v>95</v>
      </c>
      <c r="G19" s="8">
        <v>3.5</v>
      </c>
      <c r="H19" s="9" t="s">
        <v>96</v>
      </c>
      <c r="I19" s="13">
        <v>3.5</v>
      </c>
      <c r="J19" s="13" t="s">
        <v>97</v>
      </c>
      <c r="K19" s="11">
        <f t="shared" si="1"/>
        <v>3.375</v>
      </c>
      <c r="L19" s="3"/>
      <c r="M19" s="4"/>
      <c r="N19" s="4"/>
      <c r="O19" s="4"/>
      <c r="P19" s="4"/>
      <c r="Q19" s="4"/>
      <c r="R19" s="4"/>
      <c r="S19" s="4"/>
      <c r="T19" s="4"/>
      <c r="U19" s="4"/>
      <c r="V19" s="4"/>
      <c r="W19" s="4"/>
      <c r="X19" s="4"/>
      <c r="Y19" s="4"/>
      <c r="Z19" s="4"/>
      <c r="AA19" s="4"/>
      <c r="AB19" s="4"/>
    </row>
    <row r="20">
      <c r="A20" s="15"/>
      <c r="B20" s="16" t="s">
        <v>98</v>
      </c>
      <c r="C20" s="11">
        <f>SUM(C2:C19)</f>
        <v>71</v>
      </c>
      <c r="D20" s="11"/>
      <c r="E20" s="11">
        <f>SUM(E2:E19)</f>
        <v>71.5</v>
      </c>
      <c r="F20" s="11"/>
      <c r="G20" s="11">
        <f>SUM(G2:G19)</f>
        <v>73</v>
      </c>
      <c r="H20" s="11"/>
      <c r="I20" s="17">
        <f>SUM(I2:I19)</f>
        <v>70.5</v>
      </c>
      <c r="J20" s="17"/>
      <c r="K20" s="11">
        <f t="shared" si="1"/>
        <v>71.5</v>
      </c>
      <c r="L20" s="3"/>
      <c r="M20" s="4"/>
      <c r="N20" s="4"/>
      <c r="O20" s="4"/>
      <c r="P20" s="4"/>
      <c r="Q20" s="4"/>
      <c r="R20" s="4"/>
      <c r="S20" s="4"/>
      <c r="T20" s="4"/>
      <c r="U20" s="4"/>
      <c r="V20" s="4"/>
      <c r="W20" s="4"/>
      <c r="X20" s="4"/>
      <c r="Y20" s="4"/>
      <c r="Z20" s="4"/>
      <c r="AA20" s="4"/>
      <c r="AB20" s="4"/>
    </row>
    <row r="21">
      <c r="A21" s="18"/>
      <c r="B21" s="18"/>
      <c r="C21" s="18"/>
      <c r="D21" s="18"/>
      <c r="E21" s="18"/>
      <c r="F21" s="18"/>
      <c r="G21" s="18"/>
      <c r="H21" s="18"/>
      <c r="I21" s="18"/>
      <c r="J21" s="18"/>
      <c r="K21" s="18"/>
      <c r="L21" s="4"/>
      <c r="M21" s="4"/>
      <c r="N21" s="4"/>
      <c r="O21" s="4"/>
      <c r="P21" s="4"/>
      <c r="Q21" s="4"/>
      <c r="R21" s="4"/>
      <c r="S21" s="4"/>
      <c r="T21" s="4"/>
      <c r="U21" s="4"/>
      <c r="V21" s="4"/>
      <c r="W21" s="4"/>
      <c r="X21" s="4"/>
      <c r="Y21" s="4"/>
      <c r="Z21" s="4"/>
      <c r="AA21" s="4"/>
      <c r="AB21" s="4"/>
    </row>
    <row r="22">
      <c r="A22" s="19"/>
      <c r="B22" s="19"/>
      <c r="C22" s="19"/>
      <c r="D22" s="19"/>
      <c r="E22" s="19"/>
      <c r="F22" s="19"/>
      <c r="G22" s="19"/>
      <c r="H22" s="19"/>
      <c r="I22" s="19"/>
      <c r="J22" s="4"/>
      <c r="K22" s="4"/>
      <c r="L22" s="4"/>
      <c r="M22" s="4"/>
      <c r="N22" s="4"/>
      <c r="O22" s="4"/>
      <c r="P22" s="4"/>
      <c r="Q22" s="4"/>
      <c r="R22" s="4"/>
      <c r="S22" s="4"/>
      <c r="T22" s="4"/>
      <c r="U22" s="4"/>
      <c r="V22" s="4"/>
      <c r="W22" s="4"/>
      <c r="X22" s="4"/>
      <c r="Y22" s="4"/>
      <c r="Z22" s="4"/>
      <c r="AA22" s="4"/>
      <c r="AB22" s="4"/>
    </row>
    <row r="23">
      <c r="A23" s="1" t="s">
        <v>0</v>
      </c>
      <c r="B23" s="1" t="s">
        <v>1</v>
      </c>
      <c r="C23" s="2" t="s">
        <v>99</v>
      </c>
      <c r="D23" s="2" t="s">
        <v>3</v>
      </c>
      <c r="E23" s="1" t="s">
        <v>100</v>
      </c>
      <c r="F23" s="1" t="s">
        <v>3</v>
      </c>
      <c r="G23" s="1" t="s">
        <v>101</v>
      </c>
      <c r="H23" s="1" t="s">
        <v>3</v>
      </c>
      <c r="I23" s="2" t="s">
        <v>7</v>
      </c>
      <c r="J23" s="20"/>
      <c r="K23" s="4"/>
      <c r="L23" s="4"/>
      <c r="M23" s="4"/>
      <c r="N23" s="4"/>
      <c r="O23" s="4"/>
      <c r="P23" s="4"/>
      <c r="Q23" s="4"/>
      <c r="R23" s="4"/>
      <c r="S23" s="4"/>
      <c r="T23" s="4"/>
      <c r="U23" s="4"/>
      <c r="V23" s="4"/>
      <c r="W23" s="4"/>
      <c r="X23" s="4"/>
      <c r="Y23" s="4"/>
      <c r="Z23" s="4"/>
      <c r="AA23" s="4"/>
      <c r="AB23" s="4"/>
    </row>
    <row r="24">
      <c r="A24" s="15">
        <v>19.0</v>
      </c>
      <c r="B24" s="14" t="s">
        <v>102</v>
      </c>
      <c r="C24" s="7">
        <v>4.5</v>
      </c>
      <c r="D24" s="7" t="s">
        <v>103</v>
      </c>
      <c r="E24" s="7">
        <v>5.0</v>
      </c>
      <c r="F24" s="7" t="s">
        <v>104</v>
      </c>
      <c r="G24" s="7">
        <v>6.0</v>
      </c>
      <c r="H24" s="21" t="s">
        <v>105</v>
      </c>
      <c r="I24" s="11">
        <f t="shared" ref="I24:I42" si="2">(C24+E24+G24)/3</f>
        <v>5.166666667</v>
      </c>
      <c r="J24" s="22"/>
      <c r="K24" s="4"/>
      <c r="L24" s="4"/>
      <c r="M24" s="4"/>
      <c r="N24" s="4"/>
      <c r="O24" s="4"/>
      <c r="P24" s="4"/>
      <c r="Q24" s="4"/>
      <c r="R24" s="4"/>
      <c r="S24" s="4"/>
      <c r="T24" s="4"/>
      <c r="U24" s="4"/>
      <c r="V24" s="4"/>
      <c r="W24" s="4"/>
      <c r="X24" s="4"/>
      <c r="Y24" s="4"/>
      <c r="Z24" s="4"/>
      <c r="AA24" s="4"/>
      <c r="AB24" s="4"/>
    </row>
    <row r="25">
      <c r="A25" s="15">
        <v>20.0</v>
      </c>
      <c r="B25" s="14" t="s">
        <v>106</v>
      </c>
      <c r="C25" s="7">
        <v>3.0</v>
      </c>
      <c r="D25" s="7" t="s">
        <v>107</v>
      </c>
      <c r="E25" s="7">
        <v>3.5</v>
      </c>
      <c r="F25" s="7" t="s">
        <v>108</v>
      </c>
      <c r="G25" s="7">
        <v>4.0</v>
      </c>
      <c r="H25" s="21" t="s">
        <v>109</v>
      </c>
      <c r="I25" s="11">
        <f t="shared" si="2"/>
        <v>3.5</v>
      </c>
      <c r="J25" s="22"/>
      <c r="K25" s="4"/>
      <c r="L25" s="4"/>
      <c r="M25" s="4"/>
      <c r="N25" s="4"/>
      <c r="O25" s="4"/>
      <c r="P25" s="4"/>
      <c r="Q25" s="4"/>
      <c r="R25" s="4"/>
      <c r="S25" s="4"/>
      <c r="T25" s="4"/>
      <c r="U25" s="4"/>
      <c r="V25" s="4"/>
      <c r="W25" s="4"/>
      <c r="X25" s="4"/>
      <c r="Y25" s="4"/>
      <c r="Z25" s="4"/>
      <c r="AA25" s="4"/>
      <c r="AB25" s="4"/>
    </row>
    <row r="26">
      <c r="A26" s="15">
        <v>21.0</v>
      </c>
      <c r="B26" s="14" t="s">
        <v>110</v>
      </c>
      <c r="C26" s="7">
        <v>4.0</v>
      </c>
      <c r="D26" s="7" t="s">
        <v>111</v>
      </c>
      <c r="E26" s="7">
        <v>5.0</v>
      </c>
      <c r="F26" s="7" t="s">
        <v>112</v>
      </c>
      <c r="G26" s="7">
        <v>6.0</v>
      </c>
      <c r="H26" s="21" t="s">
        <v>113</v>
      </c>
      <c r="I26" s="11">
        <f t="shared" si="2"/>
        <v>5</v>
      </c>
      <c r="J26" s="22"/>
      <c r="K26" s="4"/>
      <c r="L26" s="4"/>
      <c r="M26" s="4"/>
      <c r="N26" s="4"/>
      <c r="O26" s="4"/>
      <c r="P26" s="4"/>
      <c r="Q26" s="4"/>
      <c r="R26" s="4"/>
      <c r="S26" s="4"/>
      <c r="T26" s="4"/>
      <c r="U26" s="4"/>
      <c r="V26" s="4"/>
      <c r="W26" s="4"/>
      <c r="X26" s="4"/>
      <c r="Y26" s="4"/>
      <c r="Z26" s="4"/>
      <c r="AA26" s="4"/>
      <c r="AB26" s="4"/>
    </row>
    <row r="27">
      <c r="A27" s="15">
        <v>22.0</v>
      </c>
      <c r="B27" s="14" t="s">
        <v>114</v>
      </c>
      <c r="C27" s="7">
        <v>3.5</v>
      </c>
      <c r="D27" s="7" t="s">
        <v>115</v>
      </c>
      <c r="E27" s="7">
        <v>4.0</v>
      </c>
      <c r="F27" s="7" t="s">
        <v>116</v>
      </c>
      <c r="G27" s="7">
        <v>4.0</v>
      </c>
      <c r="H27" s="21" t="s">
        <v>117</v>
      </c>
      <c r="I27" s="11">
        <f t="shared" si="2"/>
        <v>3.833333333</v>
      </c>
      <c r="J27" s="22"/>
      <c r="K27" s="4"/>
      <c r="L27" s="4"/>
      <c r="M27" s="4"/>
      <c r="N27" s="4"/>
      <c r="O27" s="4"/>
      <c r="P27" s="4"/>
      <c r="Q27" s="4"/>
      <c r="R27" s="4"/>
      <c r="S27" s="4"/>
      <c r="T27" s="4"/>
      <c r="U27" s="4"/>
      <c r="V27" s="4"/>
      <c r="W27" s="4"/>
      <c r="X27" s="4"/>
      <c r="Y27" s="4"/>
      <c r="Z27" s="4"/>
      <c r="AA27" s="4"/>
      <c r="AB27" s="4"/>
    </row>
    <row r="28">
      <c r="A28" s="15">
        <v>23.0</v>
      </c>
      <c r="B28" s="14" t="s">
        <v>118</v>
      </c>
      <c r="C28" s="7">
        <v>1.5</v>
      </c>
      <c r="D28" s="7" t="s">
        <v>119</v>
      </c>
      <c r="E28" s="7">
        <v>2.5</v>
      </c>
      <c r="F28" s="7" t="s">
        <v>120</v>
      </c>
      <c r="G28" s="7">
        <v>2.0</v>
      </c>
      <c r="H28" s="21" t="s">
        <v>121</v>
      </c>
      <c r="I28" s="11">
        <f t="shared" si="2"/>
        <v>2</v>
      </c>
      <c r="J28" s="22"/>
      <c r="K28" s="4"/>
      <c r="L28" s="4"/>
      <c r="M28" s="4"/>
      <c r="N28" s="4"/>
      <c r="O28" s="4"/>
      <c r="P28" s="4"/>
      <c r="Q28" s="4"/>
      <c r="R28" s="4"/>
      <c r="S28" s="4"/>
      <c r="T28" s="4"/>
      <c r="U28" s="4"/>
      <c r="V28" s="4"/>
      <c r="W28" s="4"/>
      <c r="X28" s="4"/>
      <c r="Y28" s="4"/>
      <c r="Z28" s="4"/>
      <c r="AA28" s="4"/>
      <c r="AB28" s="4"/>
    </row>
    <row r="29">
      <c r="A29" s="15">
        <v>24.0</v>
      </c>
      <c r="B29" s="14" t="s">
        <v>122</v>
      </c>
      <c r="C29" s="7">
        <v>0.0</v>
      </c>
      <c r="D29" s="7" t="s">
        <v>123</v>
      </c>
      <c r="E29" s="7">
        <v>0.0</v>
      </c>
      <c r="F29" s="7" t="s">
        <v>124</v>
      </c>
      <c r="G29" s="7">
        <v>0.0</v>
      </c>
      <c r="H29" s="21" t="s">
        <v>125</v>
      </c>
      <c r="I29" s="11">
        <f t="shared" si="2"/>
        <v>0</v>
      </c>
      <c r="J29" s="22"/>
      <c r="K29" s="4"/>
      <c r="L29" s="4"/>
      <c r="M29" s="4"/>
      <c r="N29" s="4"/>
      <c r="O29" s="4"/>
      <c r="P29" s="4"/>
      <c r="Q29" s="4"/>
      <c r="R29" s="4"/>
      <c r="S29" s="4"/>
      <c r="T29" s="4"/>
      <c r="U29" s="4"/>
      <c r="V29" s="4"/>
      <c r="W29" s="4"/>
      <c r="X29" s="4"/>
      <c r="Y29" s="4"/>
      <c r="Z29" s="4"/>
      <c r="AA29" s="4"/>
      <c r="AB29" s="4"/>
    </row>
    <row r="30">
      <c r="A30" s="15">
        <v>25.0</v>
      </c>
      <c r="B30" s="14" t="s">
        <v>126</v>
      </c>
      <c r="C30" s="7">
        <v>5.0</v>
      </c>
      <c r="D30" s="7" t="s">
        <v>127</v>
      </c>
      <c r="E30" s="7">
        <v>5.5</v>
      </c>
      <c r="F30" s="7" t="s">
        <v>128</v>
      </c>
      <c r="G30" s="7">
        <v>6.0</v>
      </c>
      <c r="H30" s="21" t="s">
        <v>129</v>
      </c>
      <c r="I30" s="11">
        <f t="shared" si="2"/>
        <v>5.5</v>
      </c>
      <c r="J30" s="22"/>
      <c r="K30" s="4"/>
      <c r="L30" s="4"/>
      <c r="M30" s="4"/>
      <c r="N30" s="4"/>
      <c r="O30" s="4"/>
      <c r="P30" s="4"/>
      <c r="Q30" s="4"/>
      <c r="R30" s="4"/>
      <c r="S30" s="4"/>
      <c r="T30" s="4"/>
      <c r="U30" s="4"/>
      <c r="V30" s="4"/>
      <c r="W30" s="4"/>
      <c r="X30" s="4"/>
      <c r="Y30" s="4"/>
      <c r="Z30" s="4"/>
      <c r="AA30" s="4"/>
      <c r="AB30" s="4"/>
    </row>
    <row r="31">
      <c r="A31" s="15">
        <v>26.0</v>
      </c>
      <c r="B31" s="14" t="s">
        <v>130</v>
      </c>
      <c r="C31" s="7">
        <v>2.5</v>
      </c>
      <c r="D31" s="7" t="s">
        <v>131</v>
      </c>
      <c r="E31" s="7">
        <v>4.0</v>
      </c>
      <c r="F31" s="7" t="s">
        <v>132</v>
      </c>
      <c r="G31" s="7">
        <v>3.0</v>
      </c>
      <c r="H31" s="21" t="s">
        <v>133</v>
      </c>
      <c r="I31" s="11">
        <f t="shared" si="2"/>
        <v>3.166666667</v>
      </c>
      <c r="J31" s="22"/>
      <c r="K31" s="4"/>
      <c r="L31" s="4"/>
      <c r="M31" s="4"/>
      <c r="N31" s="4"/>
      <c r="O31" s="4"/>
      <c r="P31" s="4"/>
      <c r="Q31" s="4"/>
      <c r="R31" s="4"/>
      <c r="S31" s="4"/>
      <c r="T31" s="4"/>
      <c r="U31" s="4"/>
      <c r="V31" s="4"/>
      <c r="W31" s="4"/>
      <c r="X31" s="4"/>
      <c r="Y31" s="4"/>
      <c r="Z31" s="4"/>
      <c r="AA31" s="4"/>
      <c r="AB31" s="4"/>
    </row>
    <row r="32">
      <c r="A32" s="15">
        <v>27.0</v>
      </c>
      <c r="B32" s="14" t="s">
        <v>134</v>
      </c>
      <c r="C32" s="7">
        <v>3.0</v>
      </c>
      <c r="D32" s="7" t="s">
        <v>135</v>
      </c>
      <c r="E32" s="7">
        <v>4.0</v>
      </c>
      <c r="F32" s="7" t="s">
        <v>136</v>
      </c>
      <c r="G32" s="7">
        <v>5.0</v>
      </c>
      <c r="H32" s="21" t="s">
        <v>137</v>
      </c>
      <c r="I32" s="11">
        <f t="shared" si="2"/>
        <v>4</v>
      </c>
      <c r="J32" s="22"/>
      <c r="K32" s="4"/>
      <c r="L32" s="4"/>
      <c r="M32" s="4"/>
      <c r="N32" s="4"/>
      <c r="O32" s="4"/>
      <c r="P32" s="4"/>
      <c r="Q32" s="4"/>
      <c r="R32" s="4"/>
      <c r="S32" s="4"/>
      <c r="T32" s="4"/>
      <c r="U32" s="4"/>
      <c r="V32" s="4"/>
      <c r="W32" s="4"/>
      <c r="X32" s="4"/>
      <c r="Y32" s="4"/>
      <c r="Z32" s="4"/>
      <c r="AA32" s="4"/>
      <c r="AB32" s="4"/>
    </row>
    <row r="33">
      <c r="A33" s="15">
        <v>28.0</v>
      </c>
      <c r="B33" s="14" t="s">
        <v>138</v>
      </c>
      <c r="C33" s="7">
        <v>5.5</v>
      </c>
      <c r="D33" s="7" t="s">
        <v>139</v>
      </c>
      <c r="E33" s="7">
        <v>7.0</v>
      </c>
      <c r="F33" s="7" t="s">
        <v>140</v>
      </c>
      <c r="G33" s="7">
        <v>6.0</v>
      </c>
      <c r="H33" s="21" t="s">
        <v>141</v>
      </c>
      <c r="I33" s="11">
        <f t="shared" si="2"/>
        <v>6.166666667</v>
      </c>
      <c r="J33" s="22"/>
      <c r="K33" s="4"/>
      <c r="L33" s="4"/>
      <c r="M33" s="4"/>
      <c r="N33" s="4"/>
      <c r="O33" s="4"/>
      <c r="P33" s="4"/>
      <c r="Q33" s="4"/>
      <c r="R33" s="4"/>
      <c r="S33" s="4"/>
      <c r="T33" s="4"/>
      <c r="U33" s="4"/>
      <c r="V33" s="4"/>
      <c r="W33" s="4"/>
      <c r="X33" s="4"/>
      <c r="Y33" s="4"/>
      <c r="Z33" s="4"/>
      <c r="AA33" s="4"/>
      <c r="AB33" s="4"/>
    </row>
    <row r="34">
      <c r="A34" s="15">
        <v>29.0</v>
      </c>
      <c r="B34" s="14" t="s">
        <v>142</v>
      </c>
      <c r="C34" s="7">
        <v>5.0</v>
      </c>
      <c r="D34" s="7" t="s">
        <v>143</v>
      </c>
      <c r="E34" s="7">
        <v>5.0</v>
      </c>
      <c r="F34" s="7" t="s">
        <v>144</v>
      </c>
      <c r="G34" s="7">
        <v>7.0</v>
      </c>
      <c r="H34" s="21" t="s">
        <v>145</v>
      </c>
      <c r="I34" s="11">
        <f t="shared" si="2"/>
        <v>5.666666667</v>
      </c>
      <c r="J34" s="22"/>
      <c r="K34" s="4"/>
      <c r="L34" s="4"/>
      <c r="M34" s="4"/>
      <c r="N34" s="4"/>
      <c r="O34" s="4"/>
      <c r="P34" s="4"/>
      <c r="Q34" s="4"/>
      <c r="R34" s="4"/>
      <c r="S34" s="4"/>
      <c r="T34" s="4"/>
      <c r="U34" s="4"/>
      <c r="V34" s="4"/>
      <c r="W34" s="4"/>
      <c r="X34" s="4"/>
      <c r="Y34" s="4"/>
      <c r="Z34" s="4"/>
      <c r="AA34" s="4"/>
      <c r="AB34" s="4"/>
    </row>
    <row r="35">
      <c r="A35" s="15">
        <v>30.0</v>
      </c>
      <c r="B35" s="14" t="s">
        <v>146</v>
      </c>
      <c r="C35" s="7">
        <v>4.0</v>
      </c>
      <c r="D35" s="7" t="s">
        <v>147</v>
      </c>
      <c r="E35" s="7">
        <v>3.5</v>
      </c>
      <c r="F35" s="7" t="s">
        <v>148</v>
      </c>
      <c r="G35" s="7">
        <v>5.0</v>
      </c>
      <c r="H35" s="21" t="s">
        <v>149</v>
      </c>
      <c r="I35" s="11">
        <f t="shared" si="2"/>
        <v>4.166666667</v>
      </c>
      <c r="J35" s="22"/>
      <c r="K35" s="4"/>
      <c r="L35" s="4"/>
      <c r="M35" s="4"/>
      <c r="N35" s="4"/>
      <c r="O35" s="4"/>
      <c r="P35" s="4"/>
      <c r="Q35" s="4"/>
      <c r="R35" s="4"/>
      <c r="S35" s="4"/>
      <c r="T35" s="4"/>
      <c r="U35" s="4"/>
      <c r="V35" s="4"/>
      <c r="W35" s="4"/>
      <c r="X35" s="4"/>
      <c r="Y35" s="4"/>
      <c r="Z35" s="4"/>
      <c r="AA35" s="4"/>
      <c r="AB35" s="4"/>
    </row>
    <row r="36">
      <c r="A36" s="15">
        <v>31.0</v>
      </c>
      <c r="B36" s="14" t="s">
        <v>150</v>
      </c>
      <c r="C36" s="7">
        <v>4.5</v>
      </c>
      <c r="D36" s="7" t="s">
        <v>151</v>
      </c>
      <c r="E36" s="7">
        <v>4.0</v>
      </c>
      <c r="F36" s="7" t="s">
        <v>152</v>
      </c>
      <c r="G36" s="7">
        <v>5.0</v>
      </c>
      <c r="H36" s="21" t="s">
        <v>153</v>
      </c>
      <c r="I36" s="11">
        <f t="shared" si="2"/>
        <v>4.5</v>
      </c>
      <c r="J36" s="22"/>
      <c r="K36" s="4"/>
      <c r="L36" s="4"/>
      <c r="M36" s="4"/>
      <c r="N36" s="4"/>
      <c r="O36" s="4"/>
      <c r="P36" s="4"/>
      <c r="Q36" s="4"/>
      <c r="R36" s="4"/>
      <c r="S36" s="4"/>
      <c r="T36" s="4"/>
      <c r="U36" s="4"/>
      <c r="V36" s="4"/>
      <c r="W36" s="4"/>
      <c r="X36" s="4"/>
      <c r="Y36" s="4"/>
      <c r="Z36" s="4"/>
      <c r="AA36" s="4"/>
      <c r="AB36" s="4"/>
    </row>
    <row r="37">
      <c r="A37" s="15">
        <v>32.0</v>
      </c>
      <c r="B37" s="14" t="s">
        <v>154</v>
      </c>
      <c r="C37" s="7">
        <v>6.0</v>
      </c>
      <c r="D37" s="7" t="s">
        <v>155</v>
      </c>
      <c r="E37" s="7">
        <v>6.0</v>
      </c>
      <c r="F37" s="7" t="s">
        <v>156</v>
      </c>
      <c r="G37" s="7">
        <v>7.0</v>
      </c>
      <c r="H37" s="21" t="s">
        <v>157</v>
      </c>
      <c r="I37" s="11">
        <f t="shared" si="2"/>
        <v>6.333333333</v>
      </c>
      <c r="J37" s="22"/>
      <c r="K37" s="4"/>
      <c r="L37" s="4"/>
      <c r="M37" s="4"/>
      <c r="N37" s="4"/>
      <c r="O37" s="4"/>
      <c r="P37" s="4"/>
      <c r="Q37" s="4"/>
      <c r="R37" s="4"/>
      <c r="S37" s="4"/>
      <c r="T37" s="4"/>
      <c r="U37" s="4"/>
      <c r="V37" s="4"/>
      <c r="W37" s="4"/>
      <c r="X37" s="4"/>
      <c r="Y37" s="4"/>
      <c r="Z37" s="4"/>
      <c r="AA37" s="4"/>
      <c r="AB37" s="4"/>
    </row>
    <row r="38">
      <c r="A38" s="15">
        <v>33.0</v>
      </c>
      <c r="B38" s="14" t="s">
        <v>158</v>
      </c>
      <c r="C38" s="7">
        <v>4.0</v>
      </c>
      <c r="D38" s="7" t="s">
        <v>159</v>
      </c>
      <c r="E38" s="7">
        <v>4.5</v>
      </c>
      <c r="F38" s="7" t="s">
        <v>160</v>
      </c>
      <c r="G38" s="7">
        <v>4.0</v>
      </c>
      <c r="H38" s="21" t="s">
        <v>161</v>
      </c>
      <c r="I38" s="11">
        <f t="shared" si="2"/>
        <v>4.166666667</v>
      </c>
      <c r="J38" s="22"/>
      <c r="K38" s="4"/>
      <c r="L38" s="4"/>
      <c r="M38" s="4"/>
      <c r="N38" s="4"/>
      <c r="O38" s="4"/>
      <c r="P38" s="4"/>
      <c r="Q38" s="4"/>
      <c r="R38" s="4"/>
      <c r="S38" s="4"/>
      <c r="T38" s="4"/>
      <c r="U38" s="4"/>
      <c r="V38" s="4"/>
      <c r="W38" s="4"/>
      <c r="X38" s="4"/>
      <c r="Y38" s="4"/>
      <c r="Z38" s="4"/>
      <c r="AA38" s="4"/>
      <c r="AB38" s="4"/>
    </row>
    <row r="39">
      <c r="A39" s="15">
        <v>34.0</v>
      </c>
      <c r="B39" s="14" t="s">
        <v>162</v>
      </c>
      <c r="C39" s="7">
        <v>5.0</v>
      </c>
      <c r="D39" s="7" t="s">
        <v>163</v>
      </c>
      <c r="E39" s="7">
        <v>4.0</v>
      </c>
      <c r="F39" s="7" t="s">
        <v>164</v>
      </c>
      <c r="G39" s="7">
        <v>5.0</v>
      </c>
      <c r="H39" s="21" t="s">
        <v>165</v>
      </c>
      <c r="I39" s="11">
        <f t="shared" si="2"/>
        <v>4.666666667</v>
      </c>
      <c r="J39" s="22"/>
      <c r="K39" s="4"/>
      <c r="L39" s="4"/>
      <c r="M39" s="4"/>
      <c r="N39" s="4"/>
      <c r="O39" s="4"/>
      <c r="P39" s="4"/>
      <c r="Q39" s="4"/>
      <c r="R39" s="4"/>
      <c r="S39" s="4"/>
      <c r="T39" s="4"/>
      <c r="U39" s="4"/>
      <c r="V39" s="4"/>
      <c r="W39" s="4"/>
      <c r="X39" s="4"/>
      <c r="Y39" s="4"/>
      <c r="Z39" s="4"/>
      <c r="AA39" s="4"/>
      <c r="AB39" s="4"/>
    </row>
    <row r="40">
      <c r="A40" s="15">
        <v>35.0</v>
      </c>
      <c r="B40" s="14" t="s">
        <v>166</v>
      </c>
      <c r="C40" s="7">
        <v>5.5</v>
      </c>
      <c r="D40" s="7" t="s">
        <v>167</v>
      </c>
      <c r="E40" s="7">
        <v>6.0</v>
      </c>
      <c r="F40" s="7" t="s">
        <v>168</v>
      </c>
      <c r="G40" s="7">
        <v>7.0</v>
      </c>
      <c r="H40" s="21" t="s">
        <v>169</v>
      </c>
      <c r="I40" s="11">
        <f t="shared" si="2"/>
        <v>6.166666667</v>
      </c>
      <c r="J40" s="22"/>
      <c r="K40" s="4"/>
      <c r="L40" s="4"/>
      <c r="M40" s="4"/>
      <c r="N40" s="4"/>
      <c r="O40" s="4"/>
      <c r="P40" s="4"/>
      <c r="Q40" s="4"/>
      <c r="R40" s="4"/>
      <c r="S40" s="4"/>
      <c r="T40" s="4"/>
      <c r="U40" s="4"/>
      <c r="V40" s="4"/>
      <c r="W40" s="4"/>
      <c r="X40" s="4"/>
      <c r="Y40" s="4"/>
      <c r="Z40" s="4"/>
      <c r="AA40" s="4"/>
      <c r="AB40" s="4"/>
    </row>
    <row r="41">
      <c r="A41" s="15">
        <v>36.0</v>
      </c>
      <c r="B41" s="14" t="s">
        <v>170</v>
      </c>
      <c r="C41" s="7">
        <v>4.0</v>
      </c>
      <c r="D41" s="7" t="s">
        <v>171</v>
      </c>
      <c r="E41" s="7">
        <v>3.0</v>
      </c>
      <c r="F41" s="7" t="s">
        <v>172</v>
      </c>
      <c r="G41" s="7">
        <v>5.0</v>
      </c>
      <c r="H41" s="21" t="s">
        <v>173</v>
      </c>
      <c r="I41" s="7">
        <f t="shared" si="2"/>
        <v>4</v>
      </c>
      <c r="J41" s="22"/>
      <c r="K41" s="4"/>
      <c r="L41" s="4"/>
      <c r="M41" s="4"/>
      <c r="N41" s="4"/>
      <c r="O41" s="4"/>
      <c r="P41" s="4"/>
      <c r="Q41" s="4"/>
      <c r="R41" s="4"/>
      <c r="S41" s="4"/>
      <c r="T41" s="4"/>
      <c r="U41" s="4"/>
      <c r="V41" s="4"/>
      <c r="W41" s="4"/>
      <c r="X41" s="4"/>
      <c r="Y41" s="4"/>
      <c r="Z41" s="4"/>
      <c r="AA41" s="4"/>
      <c r="AB41" s="4"/>
    </row>
    <row r="42">
      <c r="A42" s="15"/>
      <c r="B42" s="16" t="s">
        <v>98</v>
      </c>
      <c r="C42" s="11">
        <f>SUM(C24:C41)</f>
        <v>70.5</v>
      </c>
      <c r="D42" s="11"/>
      <c r="E42" s="11">
        <f>SUM(E24:E41)</f>
        <v>76.5</v>
      </c>
      <c r="F42" s="11"/>
      <c r="G42" s="11">
        <f>SUM(G24:G41)</f>
        <v>87</v>
      </c>
      <c r="H42" s="11"/>
      <c r="I42" s="11">
        <f t="shared" si="2"/>
        <v>78</v>
      </c>
      <c r="J42" s="22"/>
      <c r="K42" s="4"/>
      <c r="L42" s="4"/>
      <c r="M42" s="4"/>
      <c r="N42" s="4"/>
      <c r="O42" s="4"/>
      <c r="P42" s="4"/>
      <c r="Q42" s="4"/>
      <c r="R42" s="4"/>
      <c r="S42" s="4"/>
      <c r="T42" s="4"/>
      <c r="U42" s="4"/>
      <c r="V42" s="4"/>
      <c r="W42" s="4"/>
      <c r="X42" s="4"/>
      <c r="Y42" s="4"/>
      <c r="Z42" s="4"/>
      <c r="AA42" s="4"/>
      <c r="AB42" s="4"/>
    </row>
    <row r="43">
      <c r="A43" s="18"/>
      <c r="B43" s="18"/>
      <c r="C43" s="18"/>
      <c r="D43" s="18"/>
      <c r="E43" s="18"/>
      <c r="F43" s="18"/>
      <c r="G43" s="18"/>
      <c r="H43" s="18"/>
      <c r="I43" s="18"/>
      <c r="J43" s="4"/>
      <c r="K43" s="4"/>
      <c r="L43" s="4"/>
      <c r="M43" s="4"/>
      <c r="N43" s="4"/>
      <c r="O43" s="4"/>
      <c r="P43" s="4"/>
      <c r="Q43" s="4"/>
      <c r="R43" s="4"/>
      <c r="S43" s="4"/>
      <c r="T43" s="4"/>
      <c r="U43" s="4"/>
      <c r="V43" s="4"/>
      <c r="W43" s="4"/>
      <c r="X43" s="4"/>
      <c r="Y43" s="4"/>
      <c r="Z43" s="4"/>
      <c r="AA43" s="4"/>
      <c r="AB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sheetData>
  <printOptions gridLines="1" horizontalCentered="1"/>
  <pageMargins bottom="0.75" footer="0.0" header="0.0" left="0.7" right="0.7" top="0.75"/>
  <pageSetup fitToHeight="0" paperSize="9" cellComments="atEnd" orientation="landscape" pageOrder="overThenDown"/>
  <drawing r:id="rId1"/>
</worksheet>
</file>